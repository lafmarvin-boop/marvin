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" sheetId="1" state="visible" r:id="rId1"/>
    <sheet name="Calcul" sheetId="2" state="visible" r:id="rId2"/>
    <sheet name="Parametres" sheetId="3" state="visible" r:id="rId3"/>
    <sheet name="Suivi" sheetId="4" state="visible" r:id="rId4"/>
    <sheet name="JANVIER" sheetId="5" state="visible" r:id="rId5"/>
    <sheet name="FEVRIER" sheetId="6" state="visible" r:id="rId6"/>
    <sheet name="MARS" sheetId="7" state="visible" r:id="rId7"/>
    <sheet name="AVRIL" sheetId="8" state="visible" r:id="rId8"/>
    <sheet name="MAI" sheetId="9" state="visible" r:id="rId9"/>
    <sheet name="JUIN" sheetId="10" state="visible" r:id="rId10"/>
    <sheet name="JUILLET" sheetId="11" state="visible" r:id="rId11"/>
    <sheet name="AOUT" sheetId="12" state="visible" r:id="rId12"/>
    <sheet name="SEPTEMBRE" sheetId="13" state="visible" r:id="rId13"/>
    <sheet name="OCTOBRE" sheetId="14" state="visible" r:id="rId14"/>
    <sheet name="NOVEMBRE" sheetId="15" state="visible" r:id="rId15"/>
    <sheet name="DECEMBR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 €"/>
    <numFmt numFmtId="165" formatCode="dd/mm/yyyy"/>
    <numFmt numFmtId="166" formatCode="0.00;[Red]-0.00"/>
    <numFmt numFmtId="167" formatCode="yyyy-mm-dd"/>
    <numFmt numFmtId="168" formatCode="dd/mm"/>
    <numFmt numFmtId="169" formatCode="0.0;[Red]-0.0"/>
  </numFmts>
  <fonts count="1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  <color rgb="00595959"/>
    </font>
    <font>
      <name val="Arial"/>
      <b val="1"/>
    </font>
    <font>
      <name val="Arial"/>
      <b val="1"/>
      <color rgb="001F3864"/>
      <sz val="12"/>
    </font>
    <font>
      <name val="Arial"/>
      <i val="1"/>
      <color rgb="00C00000"/>
    </font>
    <font>
      <name val="Arial"/>
      <color theme="1"/>
      <sz val="11"/>
    </font>
    <font>
      <name val="Arial"/>
      <b val="1"/>
      <color rgb="001F3864"/>
      <sz val="16"/>
    </font>
    <font>
      <name val="Arial"/>
      <b val="1"/>
      <sz val="9"/>
    </font>
    <font>
      <name val="Arial"/>
      <sz val="9"/>
    </font>
    <font>
      <name val="Arial"/>
      <b val="1"/>
      <sz val="10"/>
    </font>
    <font>
      <name val="Arial"/>
      <color rgb="00808080"/>
      <sz val="9"/>
    </font>
    <font>
      <name val="Arial"/>
      <b val="1"/>
      <sz val="12"/>
    </font>
    <font>
      <name val="Arial"/>
      <sz val="12"/>
    </font>
    <font>
      <name val="Arial"/>
      <color rgb="000000FF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1" fontId="1" fillId="0" borderId="0" pivotButton="0" quotePrefix="0" xfId="0"/>
    <xf numFmtId="0" fontId="3" fillId="2" borderId="1" applyAlignment="1" pivotButton="0" quotePrefix="0" xfId="0">
      <alignment horizontal="center" wrapText="1"/>
    </xf>
    <xf numFmtId="0" fontId="16" fillId="0" borderId="1" pivotButton="0" quotePrefix="0" xfId="0"/>
    <xf numFmtId="166" fontId="18" fillId="3" borderId="1" applyAlignment="1" pivotButton="0" quotePrefix="0" xfId="0">
      <alignment horizontal="center"/>
    </xf>
    <xf numFmtId="169" fontId="18" fillId="3" borderId="1" applyAlignment="1" pivotButton="0" quotePrefix="0" xfId="0">
      <alignment horizontal="center"/>
    </xf>
    <xf numFmtId="166" fontId="17" fillId="7" borderId="1" applyAlignment="1" pivotButton="0" quotePrefix="0" xfId="0">
      <alignment horizontal="center"/>
    </xf>
    <xf numFmtId="169" fontId="17" fillId="7" borderId="1" applyAlignment="1" pivotButton="0" quotePrefix="0" xfId="0">
      <alignment horizontal="center"/>
    </xf>
    <xf numFmtId="0" fontId="16" fillId="4" borderId="1" pivotButton="0" quotePrefix="0" xfId="0"/>
    <xf numFmtId="166" fontId="16" fillId="4" borderId="1" applyAlignment="1" pivotButton="0" quotePrefix="0" xfId="0">
      <alignment horizontal="center"/>
    </xf>
    <xf numFmtId="169" fontId="16" fillId="4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2" fontId="5" fillId="3" borderId="1" pivotButton="0" quotePrefix="0" xfId="0"/>
    <xf numFmtId="0" fontId="10" fillId="0" borderId="0" pivotButton="0" quotePrefix="0" xfId="0"/>
    <xf numFmtId="0" fontId="2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166" fontId="4" fillId="4" borderId="1" pivotButton="0" quotePrefix="0" xfId="0"/>
    <xf numFmtId="0" fontId="7" fillId="4" borderId="1" pivotButton="0" quotePrefix="0" xfId="0"/>
    <xf numFmtId="166" fontId="7" fillId="4" borderId="1" pivotButton="0" quotePrefix="0" xfId="0"/>
    <xf numFmtId="0" fontId="8" fillId="0" borderId="0" pivotButton="0" quotePrefix="0" xfId="0"/>
    <xf numFmtId="2" fontId="4" fillId="0" borderId="1" pivotButton="0" quotePrefix="0" xfId="0"/>
    <xf numFmtId="164" fontId="4" fillId="0" borderId="1" pivotButton="0" quotePrefix="0" xfId="0"/>
    <xf numFmtId="1" fontId="4" fillId="0" borderId="1" pivotButton="0" quotePrefix="0" xfId="0"/>
    <xf numFmtId="0" fontId="9" fillId="0" borderId="0" pivotButton="0" quotePrefix="0" xfId="0"/>
    <xf numFmtId="1" fontId="5" fillId="3" borderId="1" pivotButton="0" quotePrefix="0" xfId="0"/>
    <xf numFmtId="0" fontId="6" fillId="0" borderId="0" applyAlignment="1" pivotButton="0" quotePrefix="0" xfId="0">
      <alignment wrapText="1"/>
    </xf>
    <xf numFmtId="9" fontId="5" fillId="3" borderId="1" pivotButton="0" quotePrefix="0" xfId="0"/>
    <xf numFmtId="49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0" fontId="5" fillId="3" borderId="1" pivotButton="0" quotePrefix="0" xfId="0"/>
    <xf numFmtId="0" fontId="11" fillId="0" borderId="0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12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/>
    </xf>
    <xf numFmtId="168" fontId="13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Arial"/>
        <b val="1"/>
        <color rgb="00FFFFFF"/>
      </font>
      <fill>
        <patternFill patternType="solid">
          <fgColor rgb="00FF0000"/>
        </patternFill>
      </fill>
    </dxf>
    <dxf>
      <font>
        <name val="Arial"/>
        <b val="1"/>
        <color rgb="001F4E79"/>
        <u val="single"/>
      </font>
      <fill>
        <patternFill patternType="solid">
          <fgColor rgb="00DDEBF7"/>
        </patternFill>
      </fill>
    </dxf>
    <dxf>
      <fill>
        <patternFill patternType="solid">
          <fgColor rgb="00BFBF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 xml:space="preserve">Mes congés </t>
        </is>
      </c>
      <c r="B1" s="2">
        <f>Parametres!B5</f>
        <v/>
      </c>
    </row>
    <row r="3">
      <c r="A3" s="3" t="inlineStr">
        <is>
          <t>Intitulé</t>
        </is>
      </c>
      <c r="B3" s="3" t="inlineStr">
        <is>
          <t>Tape en heures</t>
        </is>
      </c>
      <c r="C3" s="3" t="inlineStr">
        <is>
          <t>ou tape en jours</t>
        </is>
      </c>
      <c r="D3" s="3" t="inlineStr">
        <is>
          <t>Actuel (heures)</t>
        </is>
      </c>
      <c r="E3" s="3" t="inlineStr">
        <is>
          <t>Actuel (jours)</t>
        </is>
      </c>
      <c r="F3" s="3" t="inlineStr">
        <is>
          <t>Pris (jours)</t>
        </is>
      </c>
      <c r="G3" s="3" t="inlineStr">
        <is>
          <t>Restant (jours)</t>
        </is>
      </c>
    </row>
    <row r="4">
      <c r="A4" s="4" t="inlineStr">
        <is>
          <t>CA</t>
        </is>
      </c>
      <c r="B4" s="5" t="n"/>
      <c r="C4" s="6" t="n"/>
      <c r="D4" s="7">
        <f>IF(B4&lt;&gt;"",B4,IF(C4&lt;&gt;"",C4*$B$15,0))</f>
        <v/>
      </c>
      <c r="E4" s="8">
        <f>IF(C4&lt;&gt;"",C4,IF(B4&lt;&gt;"",B4/$B$15,0))</f>
        <v/>
      </c>
      <c r="F4" s="8">
        <f>COUNTIFS(JANVIER!$B$6:$AF$6,A4,JANVIER!$B$5:$AF$5,"T")+COUNTIFS(FEVRIER!$B$6:$AF$6,A4,FEVRIER!$B$5:$AF$5,"T")+COUNTIFS(MARS!$B$6:$AF$6,A4,MARS!$B$5:$AF$5,"T")+COUNTIFS(AVRIL!$B$6:$AF$6,A4,AVRIL!$B$5:$AF$5,"T")+COUNTIFS(MAI!$B$6:$AF$6,A4,MAI!$B$5:$AF$5,"T")+COUNTIFS(JUIN!$B$6:$AF$6,A4,JUIN!$B$5:$AF$5,"T")+COUNTIFS(JUILLET!$B$6:$AF$6,A4,JUILLET!$B$5:$AF$5,"T")+COUNTIFS(AOUT!$B$6:$AF$6,A4,AOUT!$B$5:$AF$5,"T")+COUNTIFS(SEPTEMBRE!$B$6:$AF$6,A4,SEPTEMBRE!$B$5:$AF$5,"T")+COUNTIFS(OCTOBRE!$B$6:$AF$6,A4,OCTOBRE!$B$5:$AF$5,"T")+COUNTIFS(NOVEMBRE!$B$6:$AF$6,A4,NOVEMBRE!$B$5:$AF$5,"T")+COUNTIFS(DECEMBRE!$B$6:$AF$6,A4,DECEMBRE!$B$5:$AF$5,"T")</f>
        <v/>
      </c>
      <c r="G4" s="8">
        <f>E4-F4</f>
        <v/>
      </c>
    </row>
    <row r="5">
      <c r="A5" s="4" t="inlineStr">
        <is>
          <t>CA HP</t>
        </is>
      </c>
      <c r="B5" s="5" t="n"/>
      <c r="C5" s="6" t="n"/>
      <c r="D5" s="7">
        <f>IF(B5&lt;&gt;"",B5,IF(C5&lt;&gt;"",C5*$B$15,0))</f>
        <v/>
      </c>
      <c r="E5" s="8">
        <f>IF(C5&lt;&gt;"",C5,IF(B5&lt;&gt;"",B5/$B$15,0))</f>
        <v/>
      </c>
      <c r="F5" s="8">
        <f>COUNTIFS(JANVIER!$B$6:$AF$6,A5,JANVIER!$B$5:$AF$5,"T")+COUNTIFS(FEVRIER!$B$6:$AF$6,A5,FEVRIER!$B$5:$AF$5,"T")+COUNTIFS(MARS!$B$6:$AF$6,A5,MARS!$B$5:$AF$5,"T")+COUNTIFS(AVRIL!$B$6:$AF$6,A5,AVRIL!$B$5:$AF$5,"T")+COUNTIFS(MAI!$B$6:$AF$6,A5,MAI!$B$5:$AF$5,"T")+COUNTIFS(JUIN!$B$6:$AF$6,A5,JUIN!$B$5:$AF$5,"T")+COUNTIFS(JUILLET!$B$6:$AF$6,A5,JUILLET!$B$5:$AF$5,"T")+COUNTIFS(AOUT!$B$6:$AF$6,A5,AOUT!$B$5:$AF$5,"T")+COUNTIFS(SEPTEMBRE!$B$6:$AF$6,A5,SEPTEMBRE!$B$5:$AF$5,"T")+COUNTIFS(OCTOBRE!$B$6:$AF$6,A5,OCTOBRE!$B$5:$AF$5,"T")+COUNTIFS(NOVEMBRE!$B$6:$AF$6,A5,NOVEMBRE!$B$5:$AF$5,"T")+COUNTIFS(DECEMBRE!$B$6:$AF$6,A5,DECEMBRE!$B$5:$AF$5,"T")</f>
        <v/>
      </c>
      <c r="G5" s="8">
        <f>E5-F5</f>
        <v/>
      </c>
    </row>
    <row r="6">
      <c r="A6" s="4" t="inlineStr">
        <is>
          <t>RTC</t>
        </is>
      </c>
      <c r="B6" s="5" t="n"/>
      <c r="C6" s="6" t="n"/>
      <c r="D6" s="7">
        <f>IF(B6&lt;&gt;"",B6,IF(C6&lt;&gt;"",C6*$B$15,0))</f>
        <v/>
      </c>
      <c r="E6" s="8">
        <f>IF(C6&lt;&gt;"",C6,IF(B6&lt;&gt;"",B6/$B$15,0))</f>
        <v/>
      </c>
      <c r="F6" s="8">
        <f>COUNTIFS(JANVIER!$B$6:$AF$6,A6,JANVIER!$B$5:$AF$5,"T")+COUNTIFS(FEVRIER!$B$6:$AF$6,A6,FEVRIER!$B$5:$AF$5,"T")+COUNTIFS(MARS!$B$6:$AF$6,A6,MARS!$B$5:$AF$5,"T")+COUNTIFS(AVRIL!$B$6:$AF$6,A6,AVRIL!$B$5:$AF$5,"T")+COUNTIFS(MAI!$B$6:$AF$6,A6,MAI!$B$5:$AF$5,"T")+COUNTIFS(JUIN!$B$6:$AF$6,A6,JUIN!$B$5:$AF$5,"T")+COUNTIFS(JUILLET!$B$6:$AF$6,A6,JUILLET!$B$5:$AF$5,"T")+COUNTIFS(AOUT!$B$6:$AF$6,A6,AOUT!$B$5:$AF$5,"T")+COUNTIFS(SEPTEMBRE!$B$6:$AF$6,A6,SEPTEMBRE!$B$5:$AF$5,"T")+COUNTIFS(OCTOBRE!$B$6:$AF$6,A6,OCTOBRE!$B$5:$AF$5,"T")+COUNTIFS(NOVEMBRE!$B$6:$AF$6,A6,NOVEMBRE!$B$5:$AF$5,"T")+COUNTIFS(DECEMBRE!$B$6:$AF$6,A6,DECEMBRE!$B$5:$AF$5,"T")</f>
        <v/>
      </c>
      <c r="G6" s="8">
        <f>E6-F6</f>
        <v/>
      </c>
    </row>
    <row r="7">
      <c r="A7" s="4" t="inlineStr">
        <is>
          <t>CET</t>
        </is>
      </c>
      <c r="B7" s="5" t="n"/>
      <c r="C7" s="6" t="n"/>
      <c r="D7" s="7">
        <f>IF(B7&lt;&gt;"",B7,IF(C7&lt;&gt;"",C7*$B$15,0))</f>
        <v/>
      </c>
      <c r="E7" s="8">
        <f>IF(C7&lt;&gt;"",C7,IF(B7&lt;&gt;"",B7/$B$15,0))</f>
        <v/>
      </c>
      <c r="F7" s="8">
        <f>COUNTIFS(JANVIER!$B$6:$AF$6,A7,JANVIER!$B$5:$AF$5,"T")+COUNTIFS(FEVRIER!$B$6:$AF$6,A7,FEVRIER!$B$5:$AF$5,"T")+COUNTIFS(MARS!$B$6:$AF$6,A7,MARS!$B$5:$AF$5,"T")+COUNTIFS(AVRIL!$B$6:$AF$6,A7,AVRIL!$B$5:$AF$5,"T")+COUNTIFS(MAI!$B$6:$AF$6,A7,MAI!$B$5:$AF$5,"T")+COUNTIFS(JUIN!$B$6:$AF$6,A7,JUIN!$B$5:$AF$5,"T")+COUNTIFS(JUILLET!$B$6:$AF$6,A7,JUILLET!$B$5:$AF$5,"T")+COUNTIFS(AOUT!$B$6:$AF$6,A7,AOUT!$B$5:$AF$5,"T")+COUNTIFS(SEPTEMBRE!$B$6:$AF$6,A7,SEPTEMBRE!$B$5:$AF$5,"T")+COUNTIFS(OCTOBRE!$B$6:$AF$6,A7,OCTOBRE!$B$5:$AF$5,"T")+COUNTIFS(NOVEMBRE!$B$6:$AF$6,A7,NOVEMBRE!$B$5:$AF$5,"T")+COUNTIFS(DECEMBRE!$B$6:$AF$6,A7,DECEMBRE!$B$5:$AF$5,"T")</f>
        <v/>
      </c>
      <c r="G7" s="8">
        <f>E7-F7</f>
        <v/>
      </c>
    </row>
    <row r="8">
      <c r="A8" s="4" t="inlineStr">
        <is>
          <t>CF</t>
        </is>
      </c>
      <c r="B8" s="5" t="n"/>
      <c r="C8" s="6" t="n"/>
      <c r="D8" s="7">
        <f>IF(B8&lt;&gt;"",B8,IF(C8&lt;&gt;"",C8*$B$15,0))</f>
        <v/>
      </c>
      <c r="E8" s="8">
        <f>IF(C8&lt;&gt;"",C8,IF(B8&lt;&gt;"",B8/$B$15,0))</f>
        <v/>
      </c>
      <c r="F8" s="8">
        <f>COUNTIFS(JANVIER!$B$6:$AF$6,A8,JANVIER!$B$5:$AF$5,"T")+COUNTIFS(FEVRIER!$B$6:$AF$6,A8,FEVRIER!$B$5:$AF$5,"T")+COUNTIFS(MARS!$B$6:$AF$6,A8,MARS!$B$5:$AF$5,"T")+COUNTIFS(AVRIL!$B$6:$AF$6,A8,AVRIL!$B$5:$AF$5,"T")+COUNTIFS(MAI!$B$6:$AF$6,A8,MAI!$B$5:$AF$5,"T")+COUNTIFS(JUIN!$B$6:$AF$6,A8,JUIN!$B$5:$AF$5,"T")+COUNTIFS(JUILLET!$B$6:$AF$6,A8,JUILLET!$B$5:$AF$5,"T")+COUNTIFS(AOUT!$B$6:$AF$6,A8,AOUT!$B$5:$AF$5,"T")+COUNTIFS(SEPTEMBRE!$B$6:$AF$6,A8,SEPTEMBRE!$B$5:$AF$5,"T")+COUNTIFS(OCTOBRE!$B$6:$AF$6,A8,OCTOBRE!$B$5:$AF$5,"T")+COUNTIFS(NOVEMBRE!$B$6:$AF$6,A8,NOVEMBRE!$B$5:$AF$5,"T")+COUNTIFS(DECEMBRE!$B$6:$AF$6,A8,DECEMBRE!$B$5:$AF$5,"T")</f>
        <v/>
      </c>
      <c r="G8" s="8">
        <f>E8-F8</f>
        <v/>
      </c>
    </row>
    <row r="9">
      <c r="A9" s="4" t="inlineStr">
        <is>
          <t>HS</t>
        </is>
      </c>
      <c r="B9" s="5" t="n"/>
      <c r="C9" s="6" t="n"/>
      <c r="D9" s="7">
        <f>IF(B9&lt;&gt;"",B9,IF(C9&lt;&gt;"",C9*$B$15,0))</f>
        <v/>
      </c>
      <c r="E9" s="8">
        <f>IF(C9&lt;&gt;"",C9,IF(B9&lt;&gt;"",B9/$B$15,0))</f>
        <v/>
      </c>
      <c r="F9" s="8">
        <f>COUNTIFS(JANVIER!$B$6:$AF$6,A9,JANVIER!$B$5:$AF$5,"T")+COUNTIFS(FEVRIER!$B$6:$AF$6,A9,FEVRIER!$B$5:$AF$5,"T")+COUNTIFS(MARS!$B$6:$AF$6,A9,MARS!$B$5:$AF$5,"T")+COUNTIFS(AVRIL!$B$6:$AF$6,A9,AVRIL!$B$5:$AF$5,"T")+COUNTIFS(MAI!$B$6:$AF$6,A9,MAI!$B$5:$AF$5,"T")+COUNTIFS(JUIN!$B$6:$AF$6,A9,JUIN!$B$5:$AF$5,"T")+COUNTIFS(JUILLET!$B$6:$AF$6,A9,JUILLET!$B$5:$AF$5,"T")+COUNTIFS(AOUT!$B$6:$AF$6,A9,AOUT!$B$5:$AF$5,"T")+COUNTIFS(SEPTEMBRE!$B$6:$AF$6,A9,SEPTEMBRE!$B$5:$AF$5,"T")+COUNTIFS(OCTOBRE!$B$6:$AF$6,A9,OCTOBRE!$B$5:$AF$5,"T")+COUNTIFS(NOVEMBRE!$B$6:$AF$6,A9,NOVEMBRE!$B$5:$AF$5,"T")+COUNTIFS(DECEMBRE!$B$6:$AF$6,A9,DECEMBRE!$B$5:$AF$5,"T")</f>
        <v/>
      </c>
      <c r="G9" s="8">
        <f>E9-F9</f>
        <v/>
      </c>
    </row>
    <row r="10">
      <c r="A10" s="4" t="inlineStr">
        <is>
          <t>RPS</t>
        </is>
      </c>
      <c r="B10" s="5" t="n"/>
      <c r="C10" s="6" t="n"/>
      <c r="D10" s="7">
        <f>IF(B10&lt;&gt;"",B10,IF(C10&lt;&gt;"",C10*$B$15,0))</f>
        <v/>
      </c>
      <c r="E10" s="8">
        <f>IF(C10&lt;&gt;"",C10,IF(B10&lt;&gt;"",B10/$B$15,0))</f>
        <v/>
      </c>
      <c r="F10" s="8">
        <f>COUNTIFS(JANVIER!$B$6:$AF$6,A10,JANVIER!$B$5:$AF$5,"T")+COUNTIFS(FEVRIER!$B$6:$AF$6,A10,FEVRIER!$B$5:$AF$5,"T")+COUNTIFS(MARS!$B$6:$AF$6,A10,MARS!$B$5:$AF$5,"T")+COUNTIFS(AVRIL!$B$6:$AF$6,A10,AVRIL!$B$5:$AF$5,"T")+COUNTIFS(MAI!$B$6:$AF$6,A10,MAI!$B$5:$AF$5,"T")+COUNTIFS(JUIN!$B$6:$AF$6,A10,JUIN!$B$5:$AF$5,"T")+COUNTIFS(JUILLET!$B$6:$AF$6,A10,JUILLET!$B$5:$AF$5,"T")+COUNTIFS(AOUT!$B$6:$AF$6,A10,AOUT!$B$5:$AF$5,"T")+COUNTIFS(SEPTEMBRE!$B$6:$AF$6,A10,SEPTEMBRE!$B$5:$AF$5,"T")+COUNTIFS(OCTOBRE!$B$6:$AF$6,A10,OCTOBRE!$B$5:$AF$5,"T")+COUNTIFS(NOVEMBRE!$B$6:$AF$6,A10,NOVEMBRE!$B$5:$AF$5,"T")+COUNTIFS(DECEMBRE!$B$6:$AF$6,A10,DECEMBRE!$B$5:$AF$5,"T")</f>
        <v/>
      </c>
      <c r="G10" s="8">
        <f>E10-F10</f>
        <v/>
      </c>
    </row>
    <row r="11">
      <c r="A11" s="9" t="inlineStr">
        <is>
          <t>TOTAL</t>
        </is>
      </c>
      <c r="B11" s="10" t="n"/>
      <c r="C11" s="11" t="n"/>
      <c r="D11" s="10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</row>
    <row r="13">
      <c r="A13" s="12" t="inlineStr">
        <is>
          <t>Cases jaunes : tape en heures OU en jours. Pris = jours posés dans les onglets des mois.</t>
        </is>
      </c>
    </row>
    <row r="15">
      <c r="A15" s="13" t="inlineStr">
        <is>
          <t>1 jour =</t>
        </is>
      </c>
      <c r="B15" s="14">
        <f>12+8/60</f>
        <v/>
      </c>
      <c r="C15" s="12" t="inlineStr">
        <is>
          <t>heures (12h08). Mets 7 pour un jour ouvré.</t>
        </is>
      </c>
    </row>
    <row r="16">
      <c r="A16" s="12" t="inlineStr">
        <is>
          <t>Les autres onglets sont une aide au calcul, facultative.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12" customWidth="1" min="4" max="4"/>
    <col width="16" customWidth="1" min="5" max="5"/>
    <col width="60" customWidth="1" min="6" max="6"/>
  </cols>
  <sheetData>
    <row r="1">
      <c r="A1" s="1" t="inlineStr">
        <is>
          <t>Mes droits à congés – récapitulatif</t>
        </is>
      </c>
      <c r="B1" s="15" t="n"/>
      <c r="C1" s="15" t="n"/>
      <c r="D1" s="15" t="n"/>
      <c r="E1" s="15" t="n"/>
      <c r="F1" s="15" t="n"/>
    </row>
    <row r="2">
      <c r="A2" s="16" t="inlineStr">
        <is>
          <t>Tout se calcule depuis Parametres et Suivi. Ne rien saisir ici.</t>
        </is>
      </c>
      <c r="B2" s="15" t="n"/>
      <c r="C2" s="15" t="n"/>
      <c r="D2" s="15" t="n"/>
      <c r="E2" s="15" t="n"/>
      <c r="F2" s="15" t="n"/>
    </row>
    <row r="3">
      <c r="A3" s="15" t="n"/>
      <c r="B3" s="15" t="n"/>
      <c r="C3" s="15" t="n"/>
      <c r="D3" s="15" t="n"/>
      <c r="E3" s="15" t="n"/>
      <c r="F3" s="15" t="n"/>
    </row>
    <row r="4">
      <c r="A4" s="3" t="inlineStr">
        <is>
          <t>Type</t>
        </is>
      </c>
      <c r="B4" s="3" t="inlineStr">
        <is>
          <t>De base (h)</t>
        </is>
      </c>
      <c r="C4" s="3" t="inlineStr">
        <is>
          <t>Pris (h)</t>
        </is>
      </c>
      <c r="D4" s="3" t="inlineStr">
        <is>
          <t>Reste (h)</t>
        </is>
      </c>
      <c r="E4" s="3" t="inlineStr">
        <is>
          <t>Reste (vacations)</t>
        </is>
      </c>
      <c r="F4" s="3" t="inlineStr">
        <is>
          <t>Explication</t>
        </is>
      </c>
    </row>
    <row r="5">
      <c r="A5" s="17" t="inlineStr">
        <is>
          <t>CA – Congés annuels</t>
        </is>
      </c>
      <c r="B5" s="18">
        <f>Parametres!$B$9*Parametres!$B$10*Parametres!$B$8</f>
        <v/>
      </c>
      <c r="C5" s="18">
        <f>SUMIF(Suivi!$C$5:$C$204,"CA",Suivi!$E$5:$E$204)</f>
        <v/>
      </c>
      <c r="D5" s="19">
        <f>B5-C5</f>
        <v/>
      </c>
      <c r="E5" s="18">
        <f>D5/Parametres!$B$6</f>
        <v/>
      </c>
      <c r="F5" s="17" t="inlineStr">
        <is>
          <t>25 j ouvrés × valeur horaire × quotité.</t>
        </is>
      </c>
    </row>
    <row r="6">
      <c r="A6" s="17" t="inlineStr">
        <is>
          <t>CA HP – Hors période</t>
        </is>
      </c>
      <c r="B6" s="18">
        <f>IF(Parametres!$B$11&gt;=8,2,IF(Parametres!$B$11&gt;=5,1,0))*Parametres!$B$10</f>
        <v/>
      </c>
      <c r="C6" s="18">
        <f>SUMIF(Suivi!$C$5:$C$204,"CA HP",Suivi!$E$5:$E$204)</f>
        <v/>
      </c>
      <c r="D6" s="19">
        <f>B6-C6</f>
        <v/>
      </c>
      <c r="E6" s="18">
        <f>D6/Parametres!$B$6</f>
        <v/>
      </c>
      <c r="F6" s="17" t="inlineStr">
        <is>
          <t>Bonus : 1 j si 5-7 j CA hors mai-oct ; 2 j si 8 et +.</t>
        </is>
      </c>
    </row>
    <row r="7">
      <c r="A7" s="17" t="inlineStr">
        <is>
          <t>RTC</t>
        </is>
      </c>
      <c r="B7" s="18">
        <f>Parametres!$B$12</f>
        <v/>
      </c>
      <c r="C7" s="18">
        <f>SUMIF(Suivi!$C$5:$C$204,"RTC",Suivi!$E$5:$E$204)</f>
        <v/>
      </c>
      <c r="D7" s="19">
        <f>B7-C7</f>
        <v/>
      </c>
      <c r="E7" s="18">
        <f>D7/Parametres!$B$6</f>
        <v/>
      </c>
      <c r="F7" s="17" t="inlineStr">
        <is>
          <t>Crédit saisi dans Parametres.</t>
        </is>
      </c>
    </row>
    <row r="8">
      <c r="A8" s="17" t="inlineStr">
        <is>
          <t>CET – Compte épargne-temps</t>
        </is>
      </c>
      <c r="B8" s="18">
        <f>(Parametres!$B$18+Parametres!$B$19)*Parametres!$B$10</f>
        <v/>
      </c>
      <c r="C8" s="18">
        <f>SUMIF(Suivi!$C$5:$C$204,"CET",Suivi!$E$5:$E$204)</f>
        <v/>
      </c>
      <c r="D8" s="19">
        <f>B8-C8</f>
        <v/>
      </c>
      <c r="E8" s="18">
        <f>D8/Parametres!$B$6</f>
        <v/>
      </c>
      <c r="F8" s="17" t="inlineStr">
        <is>
          <t>Solde 1er janvier + jours versés.</t>
        </is>
      </c>
    </row>
    <row r="9">
      <c r="A9" s="17" t="inlineStr">
        <is>
          <t>CF – Crédit férié</t>
        </is>
      </c>
      <c r="B9" s="18">
        <f>Parametres!$B$13*Parametres!$B$14</f>
        <v/>
      </c>
      <c r="C9" s="18">
        <f>SUMIF(Suivi!$C$5:$C$204,"CF",Suivi!$E$5:$E$204)</f>
        <v/>
      </c>
      <c r="D9" s="19">
        <f>B9-C9</f>
        <v/>
      </c>
      <c r="E9" s="18">
        <f>D9/Parametres!$B$6</f>
        <v/>
      </c>
      <c r="F9" s="17" t="inlineStr">
        <is>
          <t>Nb fériés × heures par férié.</t>
        </is>
      </c>
    </row>
    <row r="10">
      <c r="A10" s="17" t="inlineStr">
        <is>
          <t>HS – Heures supplémentaires</t>
        </is>
      </c>
      <c r="B10" s="18">
        <f>Parametres!$B$15</f>
        <v/>
      </c>
      <c r="C10" s="18">
        <f>SUMIF(Suivi!$C$5:$C$204,"HS",Suivi!$E$5:$E$204)</f>
        <v/>
      </c>
      <c r="D10" s="19">
        <f>B10-C10</f>
        <v/>
      </c>
      <c r="E10" s="18">
        <f>D10/Parametres!$B$6</f>
        <v/>
      </c>
      <c r="F10" s="17" t="inlineStr">
        <is>
          <t>Compteur HS récupérables.</t>
        </is>
      </c>
    </row>
    <row r="11">
      <c r="A11" s="17" t="inlineStr">
        <is>
          <t>RPS – Repos pénibilité nuit</t>
        </is>
      </c>
      <c r="B11" s="18">
        <f>IF(Parametres!$B$17&gt;0,Parametres!$B$17,ROUND(140*Parametres!$B$8,0))*Parametres!$B$7*Parametres!$B$16</f>
        <v/>
      </c>
      <c r="C11" s="18">
        <f>SUMIF(Suivi!$C$5:$C$204,"RPS",Suivi!$E$5:$E$204)</f>
        <v/>
      </c>
      <c r="D11" s="19">
        <f>B11-C11</f>
        <v/>
      </c>
      <c r="E11" s="18">
        <f>D11/Parametres!$B$6</f>
        <v/>
      </c>
      <c r="F11" s="17" t="inlineStr">
        <is>
          <t>Vacations nuit × heures nuit × coef.</t>
        </is>
      </c>
    </row>
    <row r="12">
      <c r="A12" s="20" t="inlineStr">
        <is>
          <t>TOTAL</t>
        </is>
      </c>
      <c r="B12" s="21">
        <f>SUM(B5:B11)</f>
        <v/>
      </c>
      <c r="C12" s="21">
        <f>SUM(C5:C11)</f>
        <v/>
      </c>
      <c r="D12" s="21">
        <f>SUM(D5:D11)</f>
        <v/>
      </c>
      <c r="E12" s="21">
        <f>SUM(E5:E11)</f>
        <v/>
      </c>
      <c r="F12" s="20" t="n"/>
    </row>
    <row r="13">
      <c r="A13" s="15" t="n"/>
      <c r="B13" s="15" t="n"/>
      <c r="C13" s="15" t="n"/>
      <c r="D13" s="15" t="n"/>
      <c r="E13" s="15" t="n"/>
      <c r="F13" s="15" t="n"/>
    </row>
    <row r="14">
      <c r="A14" s="22" t="inlineStr">
        <is>
          <t>CET – détail</t>
        </is>
      </c>
      <c r="B14" s="15" t="n"/>
      <c r="C14" s="15" t="n"/>
      <c r="D14" s="15" t="n"/>
      <c r="E14" s="15" t="n"/>
      <c r="F14" s="15" t="n"/>
    </row>
    <row r="15">
      <c r="A15" s="3" t="inlineStr">
        <is>
          <t>Élément</t>
        </is>
      </c>
      <c r="B15" s="3" t="inlineStr">
        <is>
          <t>Valeur</t>
        </is>
      </c>
      <c r="C15" s="3" t="inlineStr"/>
      <c r="D15" s="3" t="inlineStr"/>
      <c r="E15" s="3" t="inlineStr"/>
      <c r="F15" s="3" t="inlineStr">
        <is>
          <t>Règle</t>
        </is>
      </c>
    </row>
    <row r="16">
      <c r="A16" s="17" t="inlineStr">
        <is>
          <t>Jours CA pris dans l'année</t>
        </is>
      </c>
      <c r="B16" s="23">
        <f>C5/Parametres!$B$10</f>
        <v/>
      </c>
      <c r="C16" s="15" t="n"/>
      <c r="D16" s="15" t="n"/>
      <c r="E16" s="15" t="n"/>
      <c r="F16" s="15" t="inlineStr">
        <is>
          <t>Depuis Suivi.</t>
        </is>
      </c>
    </row>
    <row r="17">
      <c r="A17" s="17" t="inlineStr">
        <is>
          <t>Jours épargnables max</t>
        </is>
      </c>
      <c r="B17" s="23">
        <f>MAX(0,MIN((B5+B6-C5-C6)/Parametres!$B$10,(B5+B6)/Parametres!$B$10-20))</f>
        <v/>
      </c>
      <c r="C17" s="15" t="n"/>
      <c r="D17" s="15" t="n"/>
      <c r="E17" s="15" t="n"/>
      <c r="F17" s="15" t="inlineStr">
        <is>
          <t>20 j de CA obligatoires. Le reliquat est épargnable.</t>
        </is>
      </c>
    </row>
    <row r="18">
      <c r="A18" s="17" t="inlineStr">
        <is>
          <t>Solde CET restant (jours)</t>
        </is>
      </c>
      <c r="B18" s="23">
        <f>D8/Parametres!$B$10</f>
        <v/>
      </c>
      <c r="C18" s="15" t="n"/>
      <c r="D18" s="15" t="n"/>
      <c r="E18" s="15" t="n"/>
      <c r="F18" s="15" t="inlineStr">
        <is>
          <t>Plafond 60 jours.</t>
        </is>
      </c>
    </row>
    <row r="19">
      <c r="A19" s="17" t="inlineStr">
        <is>
          <t>Alerte plafond</t>
        </is>
      </c>
      <c r="B19" s="23">
        <f>IF(B18&gt;60,"Plafond 60 j dépassé","OK")</f>
        <v/>
      </c>
      <c r="C19" s="15" t="n"/>
      <c r="D19" s="15" t="n"/>
      <c r="E19" s="15" t="n"/>
      <c r="F19" s="15" t="inlineStr"/>
    </row>
    <row r="20">
      <c r="A20" s="17" t="inlineStr">
        <is>
          <t>Jours indemnisables (au-delà de 15)</t>
        </is>
      </c>
      <c r="B20" s="23">
        <f>MAX(0,MIN(B18,60)-15)</f>
        <v/>
      </c>
      <c r="C20" s="15" t="n"/>
      <c r="D20" s="15" t="n"/>
      <c r="E20" s="15" t="n"/>
      <c r="F20" s="15" t="inlineStr">
        <is>
          <t>Option possible au-delà de 15 j.</t>
        </is>
      </c>
    </row>
    <row r="21">
      <c r="A21" s="17" t="inlineStr">
        <is>
          <t>Valeur si indemnisés (€)</t>
        </is>
      </c>
      <c r="B21" s="24">
        <f>B20*IF(Parametres!$B$20="A",Parametres!$B$23,IF(Parametres!$B$20="B",Parametres!$B$22,Parametres!$B$21))</f>
        <v/>
      </c>
      <c r="C21" s="15" t="n"/>
      <c r="D21" s="15" t="n"/>
      <c r="E21" s="15" t="n"/>
      <c r="F21" s="15" t="inlineStr">
        <is>
          <t>Montant brut selon catégorie.</t>
        </is>
      </c>
    </row>
    <row r="22">
      <c r="A22" s="15" t="n"/>
      <c r="B22" s="15" t="n"/>
      <c r="C22" s="15" t="n"/>
      <c r="D22" s="15" t="n"/>
      <c r="E22" s="15" t="n"/>
      <c r="F22" s="15" t="n"/>
    </row>
    <row r="23">
      <c r="A23" s="22" t="inlineStr">
        <is>
          <t>ASA – Autorisations spéciales d'absence (hors compteur)</t>
        </is>
      </c>
      <c r="B23" s="15" t="n"/>
      <c r="C23" s="15" t="n"/>
      <c r="D23" s="15" t="n"/>
      <c r="E23" s="15" t="n"/>
      <c r="F23" s="15" t="n"/>
    </row>
    <row r="24">
      <c r="A24" s="3" t="inlineStr">
        <is>
          <t>Motif</t>
        </is>
      </c>
      <c r="B24" s="3" t="inlineStr">
        <is>
          <t>Jours</t>
        </is>
      </c>
      <c r="C24" s="3" t="inlineStr"/>
      <c r="D24" s="3" t="inlineStr"/>
      <c r="E24" s="3" t="inlineStr"/>
      <c r="F24" s="3" t="inlineStr">
        <is>
          <t>Règle</t>
        </is>
      </c>
    </row>
    <row r="25">
      <c r="A25" s="17" t="inlineStr">
        <is>
          <t>Garde d'enfant malade</t>
        </is>
      </c>
      <c r="B25" s="25">
        <f>IF(Parametres!$B$24="O",IF(Parametres!$B$25="O",12,6)*Parametres!$B$8,0)</f>
        <v/>
      </c>
      <c r="C25" s="15" t="n"/>
      <c r="D25" s="15" t="n"/>
      <c r="E25" s="15" t="n"/>
      <c r="F25" s="15" t="inlineStr">
        <is>
          <t>6 j/an ; 12 j si seul ou conjoint sans droit. À vérifier.</t>
        </is>
      </c>
    </row>
    <row r="26">
      <c r="A26" s="17" t="inlineStr">
        <is>
          <t>Mariage / PACS de l'agent</t>
        </is>
      </c>
      <c r="B26" s="25" t="n">
        <v>5</v>
      </c>
      <c r="C26" s="15" t="n"/>
      <c r="D26" s="15" t="n"/>
      <c r="E26" s="15" t="n"/>
      <c r="F26" s="15" t="inlineStr">
        <is>
          <t>Barème FP. À vérifier.</t>
        </is>
      </c>
    </row>
    <row r="27">
      <c r="A27" s="17" t="inlineStr">
        <is>
          <t>Décès conjoint / parent / enfant</t>
        </is>
      </c>
      <c r="B27" s="25" t="n">
        <v>3</v>
      </c>
      <c r="C27" s="15" t="n"/>
      <c r="D27" s="15" t="n"/>
      <c r="E27" s="15" t="n"/>
      <c r="F27" s="15" t="inlineStr">
        <is>
          <t>Barème FP. Enfant : régime renforcé.</t>
        </is>
      </c>
    </row>
    <row r="28">
      <c r="A28" s="17" t="inlineStr">
        <is>
          <t>Naissance / adoption</t>
        </is>
      </c>
      <c r="B28" s="25" t="inlineStr">
        <is>
          <t>Voir RH</t>
        </is>
      </c>
      <c r="C28" s="15" t="n"/>
      <c r="D28" s="15" t="n"/>
      <c r="E28" s="15" t="n"/>
      <c r="F28" s="15" t="inlineStr">
        <is>
          <t>Congé naissance 3 j + paternité 25 j.</t>
        </is>
      </c>
    </row>
    <row r="29">
      <c r="A29" s="17" t="inlineStr">
        <is>
          <t>Déménagement</t>
        </is>
      </c>
      <c r="B29" s="25" t="inlineStr">
        <is>
          <t>Voir RH</t>
        </is>
      </c>
      <c r="C29" s="15" t="n"/>
      <c r="D29" s="15" t="n"/>
      <c r="E29" s="15" t="n"/>
      <c r="F29" s="15" t="inlineStr">
        <is>
          <t>Selon note de service.</t>
        </is>
      </c>
    </row>
    <row r="30">
      <c r="A30" s="15" t="n"/>
      <c r="B30" s="15" t="n"/>
      <c r="C30" s="15" t="n"/>
      <c r="D30" s="15" t="n"/>
      <c r="E30" s="15" t="n"/>
      <c r="F30" s="15" t="n"/>
    </row>
    <row r="31">
      <c r="A31" s="26" t="inlineStr">
        <is>
          <t>Les montants et barèmes sont indicatifs. Vérifie avec ton secrétariat / Géopol et ta note de service locale.</t>
        </is>
      </c>
      <c r="B31" s="15" t="n"/>
      <c r="C31" s="15" t="n"/>
      <c r="D31" s="15" t="n"/>
      <c r="E31" s="15" t="n"/>
      <c r="F31" s="1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1" t="inlineStr">
        <is>
          <t>Paramètres – Police nationale, cycle 12h08 de nuit</t>
        </is>
      </c>
      <c r="B1" s="15" t="n"/>
      <c r="C1" s="15" t="n"/>
    </row>
    <row r="2">
      <c r="A2" s="16" t="inlineStr">
        <is>
          <t>Cellules jaunes / texte bleu = à saisir. Le reste se calcule seul.</t>
        </is>
      </c>
      <c r="B2" s="15" t="n"/>
      <c r="C2" s="15" t="n"/>
    </row>
    <row r="3">
      <c r="A3" s="15" t="n"/>
      <c r="B3" s="15" t="n"/>
      <c r="C3" s="15" t="n"/>
    </row>
    <row r="4">
      <c r="A4" s="3" t="inlineStr">
        <is>
          <t>Paramètre</t>
        </is>
      </c>
      <c r="B4" s="3" t="inlineStr">
        <is>
          <t>Valeur</t>
        </is>
      </c>
      <c r="C4" s="3" t="inlineStr">
        <is>
          <t>Explication / source</t>
        </is>
      </c>
    </row>
    <row r="5">
      <c r="A5" s="17" t="inlineStr">
        <is>
          <t>Année de référence</t>
        </is>
      </c>
      <c r="B5" s="27" t="n">
        <v>2026</v>
      </c>
      <c r="C5" s="28" t="inlineStr">
        <is>
          <t>Année civile des droits.</t>
        </is>
      </c>
    </row>
    <row r="6">
      <c r="A6" s="17" t="inlineStr">
        <is>
          <t>Durée d'une vacation (heures)</t>
        </is>
      </c>
      <c r="B6" s="23">
        <f>12+8/60</f>
        <v/>
      </c>
      <c r="C6" s="28" t="inlineStr">
        <is>
          <t>12h08 = 12,13 h, dont 2 pauses de 20 min (rapport Sénat).</t>
        </is>
      </c>
    </row>
    <row r="7">
      <c r="A7" s="17" t="inlineStr">
        <is>
          <t>Heures de nuit par vacation</t>
        </is>
      </c>
      <c r="B7" s="14" t="n">
        <v>9</v>
      </c>
      <c r="C7" s="28" t="inlineStr">
        <is>
          <t>Heures entre 21h et 6h (RGEMPN). 9h si vacation couvre toute la plage.</t>
        </is>
      </c>
    </row>
    <row r="8">
      <c r="A8" s="17" t="inlineStr">
        <is>
          <t>Quotité de travail</t>
        </is>
      </c>
      <c r="B8" s="29" t="n">
        <v>1</v>
      </c>
      <c r="C8" s="28" t="inlineStr">
        <is>
          <t>100 % = temps plein.</t>
        </is>
      </c>
    </row>
    <row r="9">
      <c r="A9" s="17" t="inlineStr">
        <is>
          <t>CA – jours ouvrés réglementaires</t>
        </is>
      </c>
      <c r="B9" s="27" t="n">
        <v>25</v>
      </c>
      <c r="C9" s="28" t="inlineStr">
        <is>
          <t>Décret 84-972 : 25 jours ouvrés.</t>
        </is>
      </c>
    </row>
    <row r="10">
      <c r="A10" s="17" t="inlineStr">
        <is>
          <t>Valeur horaire d'1 jour de CA (h)</t>
        </is>
      </c>
      <c r="B10" s="14" t="n">
        <v>7</v>
      </c>
      <c r="C10" s="28" t="inlineStr">
        <is>
          <t>À vérifier avec ton secrétariat / Géopol.</t>
        </is>
      </c>
    </row>
    <row r="11">
      <c r="A11" s="17" t="inlineStr">
        <is>
          <t>CA HP – jours CA pris hors 1/05–31/10</t>
        </is>
      </c>
      <c r="B11" s="27" t="n">
        <v>0</v>
      </c>
      <c r="C11" s="28" t="inlineStr">
        <is>
          <t>5 à 7 j = 1 j bonus ; 8 j et + = 2 j bonus.</t>
        </is>
      </c>
    </row>
    <row r="12">
      <c r="A12" s="17" t="inlineStr">
        <is>
          <t>RTC – crédit annuel (heures)</t>
        </is>
      </c>
      <c r="B12" s="14" t="n">
        <v>0</v>
      </c>
      <c r="C12" s="28" t="inlineStr">
        <is>
          <t>Crédit annuel horaire d'ARTT en régime cyclique (RGEMPN art. 39). Voir Géopol.</t>
        </is>
      </c>
    </row>
    <row r="13">
      <c r="A13" s="17" t="inlineStr">
        <is>
          <t>CF – nombre de fériés crédités</t>
        </is>
      </c>
      <c r="B13" s="27" t="n">
        <v>0</v>
      </c>
      <c r="C13" s="28" t="inlineStr">
        <is>
          <t>Crédit férié annuel, en heures, pour régime cyclique. Voir Géopol.</t>
        </is>
      </c>
    </row>
    <row r="14">
      <c r="A14" s="17" t="inlineStr">
        <is>
          <t>CF – heures par férié</t>
        </is>
      </c>
      <c r="B14" s="23">
        <f>B6</f>
        <v/>
      </c>
      <c r="C14" s="28" t="inlineStr">
        <is>
          <t>Par défaut = 1 vacation. Modifiable.</t>
        </is>
      </c>
    </row>
    <row r="15">
      <c r="A15" s="17" t="inlineStr">
        <is>
          <t>HS – heures sup. au compteur (heures)</t>
        </is>
      </c>
      <c r="B15" s="14" t="n">
        <v>0</v>
      </c>
      <c r="C15" s="28" t="inlineStr">
        <is>
          <t>Solde HS récupérables. Voir relevé.</t>
        </is>
      </c>
    </row>
    <row r="16">
      <c r="A16" s="17" t="inlineStr">
        <is>
          <t>RPS – coef. sur heures de nuit</t>
        </is>
      </c>
      <c r="B16" s="29" t="n">
        <v>0.1</v>
      </c>
      <c r="C16" s="28" t="inlineStr">
        <is>
          <t>0,1 par heure de nuit 21h-6h (0,4 dimanche, non cumulable). Source : RGEMPN.</t>
        </is>
      </c>
    </row>
    <row r="17">
      <c r="A17" s="17" t="inlineStr">
        <is>
          <t>RPS – vacations de nuit / an</t>
        </is>
      </c>
      <c r="B17" s="27" t="n">
        <v>0</v>
      </c>
      <c r="C17" s="28" t="inlineStr">
        <is>
          <t>0 = 140 vacations/an (cycle binaire, rapport Sénat).</t>
        </is>
      </c>
    </row>
    <row r="18">
      <c r="A18" s="17" t="inlineStr">
        <is>
          <t>CET – solde au 1er janvier (jours)</t>
        </is>
      </c>
      <c r="B18" s="14" t="n">
        <v>0</v>
      </c>
      <c r="C18" s="28" t="inlineStr">
        <is>
          <t>Repris de ton relevé CET.</t>
        </is>
      </c>
    </row>
    <row r="19">
      <c r="A19" s="17" t="inlineStr">
        <is>
          <t>CET – jours versés cette année</t>
        </is>
      </c>
      <c r="B19" s="14" t="n">
        <v>0</v>
      </c>
      <c r="C19" s="28" t="inlineStr">
        <is>
          <t>Ta demande d'alimentation.</t>
        </is>
      </c>
    </row>
    <row r="20">
      <c r="A20" s="17" t="inlineStr">
        <is>
          <t>Catégorie (C, B, A)</t>
        </is>
      </c>
      <c r="B20" s="30" t="inlineStr">
        <is>
          <t>B</t>
        </is>
      </c>
      <c r="C20" s="28" t="inlineStr">
        <is>
          <t>Pour l'indemnisation CET.</t>
        </is>
      </c>
    </row>
    <row r="21">
      <c r="A21" s="17" t="inlineStr">
        <is>
          <t>Taux CET catégorie C (€/jour)</t>
        </is>
      </c>
      <c r="B21" s="31" t="n">
        <v>83</v>
      </c>
      <c r="C21" s="28" t="inlineStr">
        <is>
          <t>À vérifier.</t>
        </is>
      </c>
    </row>
    <row r="22">
      <c r="A22" s="17" t="inlineStr">
        <is>
          <t>Taux CET catégorie B (€/jour)</t>
        </is>
      </c>
      <c r="B22" s="31" t="n">
        <v>100</v>
      </c>
      <c r="C22" s="28" t="inlineStr">
        <is>
          <t>À vérifier.</t>
        </is>
      </c>
    </row>
    <row r="23">
      <c r="A23" s="17" t="inlineStr">
        <is>
          <t>Taux CET catégorie A (€/jour)</t>
        </is>
      </c>
      <c r="B23" s="31" t="n">
        <v>150</v>
      </c>
      <c r="C23" s="28" t="inlineStr">
        <is>
          <t>À vérifier.</t>
        </is>
      </c>
    </row>
    <row r="24">
      <c r="A24" s="17" t="inlineStr">
        <is>
          <t>Enfants à charge &lt; 16 ans (O/N)</t>
        </is>
      </c>
      <c r="B24" s="30" t="inlineStr">
        <is>
          <t>O</t>
        </is>
      </c>
      <c r="C24" s="28" t="inlineStr">
        <is>
          <t>Pour ASA garde d'enfant.</t>
        </is>
      </c>
    </row>
    <row r="25">
      <c r="A25" s="17" t="inlineStr">
        <is>
          <t>Élève seul l'enfant ou conjoint sans droit (O/N)</t>
        </is>
      </c>
      <c r="B25" s="30" t="inlineStr">
        <is>
          <t>N</t>
        </is>
      </c>
      <c r="C25" s="28" t="inlineStr">
        <is>
          <t>Doublement ASA garde d'enfant.</t>
        </is>
      </c>
    </row>
    <row r="26">
      <c r="A26" s="17" t="inlineStr">
        <is>
          <t>Durée d'un jour dans le Tableau (h)</t>
        </is>
      </c>
      <c r="B26" s="23">
        <f>B6</f>
        <v/>
      </c>
      <c r="C26" s="28" t="inlineStr">
        <is>
          <t>Par défaut 1 jour = 1 vacation de 12h08. Mets 7 pour des jours ouvrés.</t>
        </is>
      </c>
    </row>
    <row r="27">
      <c r="A27" s="17" t="inlineStr">
        <is>
          <t>Cycle – 1er jour travaillé (début d'un bloc de 3)</t>
        </is>
      </c>
      <c r="B27" s="32" t="n">
        <v>46297</v>
      </c>
      <c r="C27" s="28" t="inlineStr">
        <is>
          <t>Ex. 02/10/2026 : travail 2-3-4/10.</t>
        </is>
      </c>
    </row>
    <row r="28">
      <c r="A28" s="17" t="inlineStr">
        <is>
          <t>Cycle – motif sur 14 jours</t>
        </is>
      </c>
      <c r="B28" s="30" t="inlineStr">
        <is>
          <t>TTTRRTTRRRTTRR</t>
        </is>
      </c>
      <c r="C28" s="28" t="inlineStr">
        <is>
          <t>T = travail, R = repos. 3T 2R 2T 3R 2T 2R.</t>
        </is>
      </c>
    </row>
  </sheetData>
  <dataValidations count="2">
    <dataValidation sqref="B20" showDropDown="0" showInputMessage="0" showErrorMessage="0" allowBlank="0" type="list">
      <formula1>"C,B,A"</formula1>
    </dataValidation>
    <dataValidation sqref="B24 B25" showDropDown="0" showInputMessage="0" showErrorMessage="0" allowBlank="0" type="list">
      <formula1>"O,N"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0" customWidth="1" min="5" max="5"/>
    <col width="40" customWidth="1" min="6" max="6"/>
  </cols>
  <sheetData>
    <row r="1">
      <c r="A1" s="1" t="inlineStr">
        <is>
          <t>Journal des absences posées</t>
        </is>
      </c>
      <c r="B1" s="15" t="n"/>
      <c r="C1" s="15" t="n"/>
      <c r="D1" s="15" t="n"/>
      <c r="E1" s="15" t="n"/>
      <c r="F1" s="15" t="n"/>
    </row>
    <row r="2">
      <c r="A2" s="16" t="inlineStr">
        <is>
          <t>Une ligne par absence. Choisis le type dans la liste. Heures calculées seules.</t>
        </is>
      </c>
      <c r="B2" s="15" t="n"/>
      <c r="C2" s="15" t="n"/>
      <c r="D2" s="15" t="n"/>
      <c r="E2" s="15" t="n"/>
      <c r="F2" s="15" t="n"/>
    </row>
    <row r="3">
      <c r="A3" s="15" t="n"/>
      <c r="B3" s="15" t="n"/>
      <c r="C3" s="15" t="n"/>
      <c r="D3" s="15" t="n"/>
      <c r="E3" s="15" t="n"/>
      <c r="F3" s="15" t="n"/>
    </row>
    <row r="4">
      <c r="A4" s="3" t="inlineStr">
        <is>
          <t>Date début</t>
        </is>
      </c>
      <c r="B4" s="3" t="inlineStr">
        <is>
          <t>Date fin</t>
        </is>
      </c>
      <c r="C4" s="3" t="inlineStr">
        <is>
          <t>Type</t>
        </is>
      </c>
      <c r="D4" s="3" t="inlineStr">
        <is>
          <t>Nb vacations</t>
        </is>
      </c>
      <c r="E4" s="3" t="inlineStr">
        <is>
          <t>Heures</t>
        </is>
      </c>
      <c r="F4" s="3" t="inlineStr">
        <is>
          <t>Commentaire</t>
        </is>
      </c>
    </row>
    <row r="5">
      <c r="A5" s="32" t="n">
        <v>46063</v>
      </c>
      <c r="B5" s="32" t="n">
        <v>46066</v>
      </c>
      <c r="C5" s="33" t="inlineStr">
        <is>
          <t>CA</t>
        </is>
      </c>
      <c r="D5" s="33" t="n">
        <v>2</v>
      </c>
      <c r="E5" s="23">
        <f>IF(D5="","",D5*Parametres!$B$6)</f>
        <v/>
      </c>
      <c r="F5" s="33" t="inlineStr">
        <is>
          <t>Exemple – à effacer</t>
        </is>
      </c>
    </row>
    <row r="6">
      <c r="A6" s="32" t="n"/>
      <c r="B6" s="32" t="n"/>
      <c r="C6" s="33" t="n"/>
      <c r="D6" s="33" t="n"/>
      <c r="E6" s="23">
        <f>IF(D6="","",D6*Parametres!$B$6)</f>
        <v/>
      </c>
      <c r="F6" s="33" t="n"/>
    </row>
    <row r="7">
      <c r="A7" s="32" t="n"/>
      <c r="B7" s="32" t="n"/>
      <c r="C7" s="33" t="n"/>
      <c r="D7" s="33" t="n"/>
      <c r="E7" s="23">
        <f>IF(D7="","",D7*Parametres!$B$6)</f>
        <v/>
      </c>
      <c r="F7" s="33" t="n"/>
    </row>
    <row r="8">
      <c r="A8" s="32" t="n"/>
      <c r="B8" s="32" t="n"/>
      <c r="C8" s="33" t="n"/>
      <c r="D8" s="33" t="n"/>
      <c r="E8" s="23">
        <f>IF(D8="","",D8*Parametres!$B$6)</f>
        <v/>
      </c>
      <c r="F8" s="33" t="n"/>
    </row>
    <row r="9">
      <c r="A9" s="32" t="n"/>
      <c r="B9" s="32" t="n"/>
      <c r="C9" s="33" t="n"/>
      <c r="D9" s="33" t="n"/>
      <c r="E9" s="23">
        <f>IF(D9="","",D9*Parametres!$B$6)</f>
        <v/>
      </c>
      <c r="F9" s="33" t="n"/>
    </row>
    <row r="10">
      <c r="A10" s="32" t="n"/>
      <c r="B10" s="32" t="n"/>
      <c r="C10" s="33" t="n"/>
      <c r="D10" s="33" t="n"/>
      <c r="E10" s="23">
        <f>IF(D10="","",D10*Parametres!$B$6)</f>
        <v/>
      </c>
      <c r="F10" s="33" t="n"/>
    </row>
    <row r="11">
      <c r="A11" s="32" t="n"/>
      <c r="B11" s="32" t="n"/>
      <c r="C11" s="33" t="n"/>
      <c r="D11" s="33" t="n"/>
      <c r="E11" s="23">
        <f>IF(D11="","",D11*Parametres!$B$6)</f>
        <v/>
      </c>
      <c r="F11" s="33" t="n"/>
    </row>
    <row r="12">
      <c r="A12" s="32" t="n"/>
      <c r="B12" s="32" t="n"/>
      <c r="C12" s="33" t="n"/>
      <c r="D12" s="33" t="n"/>
      <c r="E12" s="23">
        <f>IF(D12="","",D12*Parametres!$B$6)</f>
        <v/>
      </c>
      <c r="F12" s="33" t="n"/>
    </row>
    <row r="13">
      <c r="A13" s="32" t="n"/>
      <c r="B13" s="32" t="n"/>
      <c r="C13" s="33" t="n"/>
      <c r="D13" s="33" t="n"/>
      <c r="E13" s="23">
        <f>IF(D13="","",D13*Parametres!$B$6)</f>
        <v/>
      </c>
      <c r="F13" s="33" t="n"/>
    </row>
    <row r="14">
      <c r="A14" s="32" t="n"/>
      <c r="B14" s="32" t="n"/>
      <c r="C14" s="33" t="n"/>
      <c r="D14" s="33" t="n"/>
      <c r="E14" s="23">
        <f>IF(D14="","",D14*Parametres!$B$6)</f>
        <v/>
      </c>
      <c r="F14" s="33" t="n"/>
    </row>
    <row r="15">
      <c r="A15" s="32" t="n"/>
      <c r="B15" s="32" t="n"/>
      <c r="C15" s="33" t="n"/>
      <c r="D15" s="33" t="n"/>
      <c r="E15" s="23">
        <f>IF(D15="","",D15*Parametres!$B$6)</f>
        <v/>
      </c>
      <c r="F15" s="33" t="n"/>
    </row>
    <row r="16">
      <c r="A16" s="32" t="n"/>
      <c r="B16" s="32" t="n"/>
      <c r="C16" s="33" t="n"/>
      <c r="D16" s="33" t="n"/>
      <c r="E16" s="23">
        <f>IF(D16="","",D16*Parametres!$B$6)</f>
        <v/>
      </c>
      <c r="F16" s="33" t="n"/>
    </row>
    <row r="17">
      <c r="A17" s="32" t="n"/>
      <c r="B17" s="32" t="n"/>
      <c r="C17" s="33" t="n"/>
      <c r="D17" s="33" t="n"/>
      <c r="E17" s="23">
        <f>IF(D17="","",D17*Parametres!$B$6)</f>
        <v/>
      </c>
      <c r="F17" s="33" t="n"/>
    </row>
    <row r="18">
      <c r="A18" s="32" t="n"/>
      <c r="B18" s="32" t="n"/>
      <c r="C18" s="33" t="n"/>
      <c r="D18" s="33" t="n"/>
      <c r="E18" s="23">
        <f>IF(D18="","",D18*Parametres!$B$6)</f>
        <v/>
      </c>
      <c r="F18" s="33" t="n"/>
    </row>
    <row r="19">
      <c r="A19" s="32" t="n"/>
      <c r="B19" s="32" t="n"/>
      <c r="C19" s="33" t="n"/>
      <c r="D19" s="33" t="n"/>
      <c r="E19" s="23">
        <f>IF(D19="","",D19*Parametres!$B$6)</f>
        <v/>
      </c>
      <c r="F19" s="33" t="n"/>
    </row>
    <row r="20">
      <c r="A20" s="32" t="n"/>
      <c r="B20" s="32" t="n"/>
      <c r="C20" s="33" t="n"/>
      <c r="D20" s="33" t="n"/>
      <c r="E20" s="23">
        <f>IF(D20="","",D20*Parametres!$B$6)</f>
        <v/>
      </c>
      <c r="F20" s="33" t="n"/>
    </row>
    <row r="21">
      <c r="A21" s="32" t="n"/>
      <c r="B21" s="32" t="n"/>
      <c r="C21" s="33" t="n"/>
      <c r="D21" s="33" t="n"/>
      <c r="E21" s="23">
        <f>IF(D21="","",D21*Parametres!$B$6)</f>
        <v/>
      </c>
      <c r="F21" s="33" t="n"/>
    </row>
    <row r="22">
      <c r="A22" s="32" t="n"/>
      <c r="B22" s="32" t="n"/>
      <c r="C22" s="33" t="n"/>
      <c r="D22" s="33" t="n"/>
      <c r="E22" s="23">
        <f>IF(D22="","",D22*Parametres!$B$6)</f>
        <v/>
      </c>
      <c r="F22" s="33" t="n"/>
    </row>
    <row r="23">
      <c r="A23" s="32" t="n"/>
      <c r="B23" s="32" t="n"/>
      <c r="C23" s="33" t="n"/>
      <c r="D23" s="33" t="n"/>
      <c r="E23" s="23">
        <f>IF(D23="","",D23*Parametres!$B$6)</f>
        <v/>
      </c>
      <c r="F23" s="33" t="n"/>
    </row>
    <row r="24">
      <c r="A24" s="32" t="n"/>
      <c r="B24" s="32" t="n"/>
      <c r="C24" s="33" t="n"/>
      <c r="D24" s="33" t="n"/>
      <c r="E24" s="23">
        <f>IF(D24="","",D24*Parametres!$B$6)</f>
        <v/>
      </c>
      <c r="F24" s="33" t="n"/>
    </row>
    <row r="25">
      <c r="A25" s="32" t="n"/>
      <c r="B25" s="32" t="n"/>
      <c r="C25" s="33" t="n"/>
      <c r="D25" s="33" t="n"/>
      <c r="E25" s="23">
        <f>IF(D25="","",D25*Parametres!$B$6)</f>
        <v/>
      </c>
      <c r="F25" s="33" t="n"/>
    </row>
    <row r="26">
      <c r="A26" s="32" t="n"/>
      <c r="B26" s="32" t="n"/>
      <c r="C26" s="33" t="n"/>
      <c r="D26" s="33" t="n"/>
      <c r="E26" s="23">
        <f>IF(D26="","",D26*Parametres!$B$6)</f>
        <v/>
      </c>
      <c r="F26" s="33" t="n"/>
    </row>
    <row r="27">
      <c r="A27" s="32" t="n"/>
      <c r="B27" s="32" t="n"/>
      <c r="C27" s="33" t="n"/>
      <c r="D27" s="33" t="n"/>
      <c r="E27" s="23">
        <f>IF(D27="","",D27*Parametres!$B$6)</f>
        <v/>
      </c>
      <c r="F27" s="33" t="n"/>
    </row>
    <row r="28">
      <c r="A28" s="32" t="n"/>
      <c r="B28" s="32" t="n"/>
      <c r="C28" s="33" t="n"/>
      <c r="D28" s="33" t="n"/>
      <c r="E28" s="23">
        <f>IF(D28="","",D28*Parametres!$B$6)</f>
        <v/>
      </c>
      <c r="F28" s="33" t="n"/>
    </row>
    <row r="29">
      <c r="A29" s="32" t="n"/>
      <c r="B29" s="32" t="n"/>
      <c r="C29" s="33" t="n"/>
      <c r="D29" s="33" t="n"/>
      <c r="E29" s="23">
        <f>IF(D29="","",D29*Parametres!$B$6)</f>
        <v/>
      </c>
      <c r="F29" s="33" t="n"/>
    </row>
    <row r="30">
      <c r="A30" s="32" t="n"/>
      <c r="B30" s="32" t="n"/>
      <c r="C30" s="33" t="n"/>
      <c r="D30" s="33" t="n"/>
      <c r="E30" s="23">
        <f>IF(D30="","",D30*Parametres!$B$6)</f>
        <v/>
      </c>
      <c r="F30" s="33" t="n"/>
    </row>
    <row r="31">
      <c r="A31" s="32" t="n"/>
      <c r="B31" s="32" t="n"/>
      <c r="C31" s="33" t="n"/>
      <c r="D31" s="33" t="n"/>
      <c r="E31" s="23">
        <f>IF(D31="","",D31*Parametres!$B$6)</f>
        <v/>
      </c>
      <c r="F31" s="33" t="n"/>
    </row>
    <row r="32">
      <c r="A32" s="32" t="n"/>
      <c r="B32" s="32" t="n"/>
      <c r="C32" s="33" t="n"/>
      <c r="D32" s="33" t="n"/>
      <c r="E32" s="23">
        <f>IF(D32="","",D32*Parametres!$B$6)</f>
        <v/>
      </c>
      <c r="F32" s="33" t="n"/>
    </row>
    <row r="33">
      <c r="A33" s="32" t="n"/>
      <c r="B33" s="32" t="n"/>
      <c r="C33" s="33" t="n"/>
      <c r="D33" s="33" t="n"/>
      <c r="E33" s="23">
        <f>IF(D33="","",D33*Parametres!$B$6)</f>
        <v/>
      </c>
      <c r="F33" s="33" t="n"/>
    </row>
    <row r="34">
      <c r="A34" s="32" t="n"/>
      <c r="B34" s="32" t="n"/>
      <c r="C34" s="33" t="n"/>
      <c r="D34" s="33" t="n"/>
      <c r="E34" s="23">
        <f>IF(D34="","",D34*Parametres!$B$6)</f>
        <v/>
      </c>
      <c r="F34" s="33" t="n"/>
    </row>
    <row r="35">
      <c r="A35" s="32" t="n"/>
      <c r="B35" s="32" t="n"/>
      <c r="C35" s="33" t="n"/>
      <c r="D35" s="33" t="n"/>
      <c r="E35" s="23">
        <f>IF(D35="","",D35*Parametres!$B$6)</f>
        <v/>
      </c>
      <c r="F35" s="33" t="n"/>
    </row>
    <row r="36">
      <c r="A36" s="32" t="n"/>
      <c r="B36" s="32" t="n"/>
      <c r="C36" s="33" t="n"/>
      <c r="D36" s="33" t="n"/>
      <c r="E36" s="23">
        <f>IF(D36="","",D36*Parametres!$B$6)</f>
        <v/>
      </c>
      <c r="F36" s="33" t="n"/>
    </row>
    <row r="37">
      <c r="A37" s="32" t="n"/>
      <c r="B37" s="32" t="n"/>
      <c r="C37" s="33" t="n"/>
      <c r="D37" s="33" t="n"/>
      <c r="E37" s="23">
        <f>IF(D37="","",D37*Parametres!$B$6)</f>
        <v/>
      </c>
      <c r="F37" s="33" t="n"/>
    </row>
    <row r="38">
      <c r="A38" s="32" t="n"/>
      <c r="B38" s="32" t="n"/>
      <c r="C38" s="33" t="n"/>
      <c r="D38" s="33" t="n"/>
      <c r="E38" s="23">
        <f>IF(D38="","",D38*Parametres!$B$6)</f>
        <v/>
      </c>
      <c r="F38" s="33" t="n"/>
    </row>
    <row r="39">
      <c r="A39" s="32" t="n"/>
      <c r="B39" s="32" t="n"/>
      <c r="C39" s="33" t="n"/>
      <c r="D39" s="33" t="n"/>
      <c r="E39" s="23">
        <f>IF(D39="","",D39*Parametres!$B$6)</f>
        <v/>
      </c>
      <c r="F39" s="33" t="n"/>
    </row>
    <row r="40">
      <c r="A40" s="32" t="n"/>
      <c r="B40" s="32" t="n"/>
      <c r="C40" s="33" t="n"/>
      <c r="D40" s="33" t="n"/>
      <c r="E40" s="23">
        <f>IF(D40="","",D40*Parametres!$B$6)</f>
        <v/>
      </c>
      <c r="F40" s="33" t="n"/>
    </row>
    <row r="41">
      <c r="A41" s="32" t="n"/>
      <c r="B41" s="32" t="n"/>
      <c r="C41" s="33" t="n"/>
      <c r="D41" s="33" t="n"/>
      <c r="E41" s="23">
        <f>IF(D41="","",D41*Parametres!$B$6)</f>
        <v/>
      </c>
      <c r="F41" s="33" t="n"/>
    </row>
    <row r="42">
      <c r="A42" s="32" t="n"/>
      <c r="B42" s="32" t="n"/>
      <c r="C42" s="33" t="n"/>
      <c r="D42" s="33" t="n"/>
      <c r="E42" s="23">
        <f>IF(D42="","",D42*Parametres!$B$6)</f>
        <v/>
      </c>
      <c r="F42" s="33" t="n"/>
    </row>
    <row r="43">
      <c r="A43" s="32" t="n"/>
      <c r="B43" s="32" t="n"/>
      <c r="C43" s="33" t="n"/>
      <c r="D43" s="33" t="n"/>
      <c r="E43" s="23">
        <f>IF(D43="","",D43*Parametres!$B$6)</f>
        <v/>
      </c>
      <c r="F43" s="33" t="n"/>
    </row>
    <row r="44">
      <c r="A44" s="32" t="n"/>
      <c r="B44" s="32" t="n"/>
      <c r="C44" s="33" t="n"/>
      <c r="D44" s="33" t="n"/>
      <c r="E44" s="23">
        <f>IF(D44="","",D44*Parametres!$B$6)</f>
        <v/>
      </c>
      <c r="F44" s="33" t="n"/>
    </row>
    <row r="45">
      <c r="A45" s="32" t="n"/>
      <c r="B45" s="32" t="n"/>
      <c r="C45" s="33" t="n"/>
      <c r="D45" s="33" t="n"/>
      <c r="E45" s="23">
        <f>IF(D45="","",D45*Parametres!$B$6)</f>
        <v/>
      </c>
      <c r="F45" s="33" t="n"/>
    </row>
    <row r="46">
      <c r="A46" s="32" t="n"/>
      <c r="B46" s="32" t="n"/>
      <c r="C46" s="33" t="n"/>
      <c r="D46" s="33" t="n"/>
      <c r="E46" s="23">
        <f>IF(D46="","",D46*Parametres!$B$6)</f>
        <v/>
      </c>
      <c r="F46" s="33" t="n"/>
    </row>
    <row r="47">
      <c r="A47" s="32" t="n"/>
      <c r="B47" s="32" t="n"/>
      <c r="C47" s="33" t="n"/>
      <c r="D47" s="33" t="n"/>
      <c r="E47" s="23">
        <f>IF(D47="","",D47*Parametres!$B$6)</f>
        <v/>
      </c>
      <c r="F47" s="33" t="n"/>
    </row>
    <row r="48">
      <c r="A48" s="32" t="n"/>
      <c r="B48" s="32" t="n"/>
      <c r="C48" s="33" t="n"/>
      <c r="D48" s="33" t="n"/>
      <c r="E48" s="23">
        <f>IF(D48="","",D48*Parametres!$B$6)</f>
        <v/>
      </c>
      <c r="F48" s="33" t="n"/>
    </row>
    <row r="49">
      <c r="A49" s="32" t="n"/>
      <c r="B49" s="32" t="n"/>
      <c r="C49" s="33" t="n"/>
      <c r="D49" s="33" t="n"/>
      <c r="E49" s="23">
        <f>IF(D49="","",D49*Parametres!$B$6)</f>
        <v/>
      </c>
      <c r="F49" s="33" t="n"/>
    </row>
    <row r="50">
      <c r="A50" s="32" t="n"/>
      <c r="B50" s="32" t="n"/>
      <c r="C50" s="33" t="n"/>
      <c r="D50" s="33" t="n"/>
      <c r="E50" s="23">
        <f>IF(D50="","",D50*Parametres!$B$6)</f>
        <v/>
      </c>
      <c r="F50" s="33" t="n"/>
    </row>
    <row r="51">
      <c r="A51" s="32" t="n"/>
      <c r="B51" s="32" t="n"/>
      <c r="C51" s="33" t="n"/>
      <c r="D51" s="33" t="n"/>
      <c r="E51" s="23">
        <f>IF(D51="","",D51*Parametres!$B$6)</f>
        <v/>
      </c>
      <c r="F51" s="33" t="n"/>
    </row>
    <row r="52">
      <c r="A52" s="32" t="n"/>
      <c r="B52" s="32" t="n"/>
      <c r="C52" s="33" t="n"/>
      <c r="D52" s="33" t="n"/>
      <c r="E52" s="23">
        <f>IF(D52="","",D52*Parametres!$B$6)</f>
        <v/>
      </c>
      <c r="F52" s="33" t="n"/>
    </row>
    <row r="53">
      <c r="A53" s="32" t="n"/>
      <c r="B53" s="32" t="n"/>
      <c r="C53" s="33" t="n"/>
      <c r="D53" s="33" t="n"/>
      <c r="E53" s="23">
        <f>IF(D53="","",D53*Parametres!$B$6)</f>
        <v/>
      </c>
      <c r="F53" s="33" t="n"/>
    </row>
    <row r="54">
      <c r="A54" s="32" t="n"/>
      <c r="B54" s="32" t="n"/>
      <c r="C54" s="33" t="n"/>
      <c r="D54" s="33" t="n"/>
      <c r="E54" s="23">
        <f>IF(D54="","",D54*Parametres!$B$6)</f>
        <v/>
      </c>
      <c r="F54" s="33" t="n"/>
    </row>
    <row r="55">
      <c r="A55" s="32" t="n"/>
      <c r="B55" s="32" t="n"/>
      <c r="C55" s="33" t="n"/>
      <c r="D55" s="33" t="n"/>
      <c r="E55" s="23">
        <f>IF(D55="","",D55*Parametres!$B$6)</f>
        <v/>
      </c>
      <c r="F55" s="33" t="n"/>
    </row>
    <row r="56">
      <c r="A56" s="32" t="n"/>
      <c r="B56" s="32" t="n"/>
      <c r="C56" s="33" t="n"/>
      <c r="D56" s="33" t="n"/>
      <c r="E56" s="23">
        <f>IF(D56="","",D56*Parametres!$B$6)</f>
        <v/>
      </c>
      <c r="F56" s="33" t="n"/>
    </row>
    <row r="57">
      <c r="A57" s="32" t="n"/>
      <c r="B57" s="32" t="n"/>
      <c r="C57" s="33" t="n"/>
      <c r="D57" s="33" t="n"/>
      <c r="E57" s="23">
        <f>IF(D57="","",D57*Parametres!$B$6)</f>
        <v/>
      </c>
      <c r="F57" s="33" t="n"/>
    </row>
    <row r="58">
      <c r="A58" s="32" t="n"/>
      <c r="B58" s="32" t="n"/>
      <c r="C58" s="33" t="n"/>
      <c r="D58" s="33" t="n"/>
      <c r="E58" s="23">
        <f>IF(D58="","",D58*Parametres!$B$6)</f>
        <v/>
      </c>
      <c r="F58" s="33" t="n"/>
    </row>
    <row r="59">
      <c r="A59" s="32" t="n"/>
      <c r="B59" s="32" t="n"/>
      <c r="C59" s="33" t="n"/>
      <c r="D59" s="33" t="n"/>
      <c r="E59" s="23">
        <f>IF(D59="","",D59*Parametres!$B$6)</f>
        <v/>
      </c>
      <c r="F59" s="33" t="n"/>
    </row>
    <row r="60">
      <c r="A60" s="32" t="n"/>
      <c r="B60" s="32" t="n"/>
      <c r="C60" s="33" t="n"/>
      <c r="D60" s="33" t="n"/>
      <c r="E60" s="23">
        <f>IF(D60="","",D60*Parametres!$B$6)</f>
        <v/>
      </c>
      <c r="F60" s="33" t="n"/>
    </row>
    <row r="61">
      <c r="A61" s="32" t="n"/>
      <c r="B61" s="32" t="n"/>
      <c r="C61" s="33" t="n"/>
      <c r="D61" s="33" t="n"/>
      <c r="E61" s="23">
        <f>IF(D61="","",D61*Parametres!$B$6)</f>
        <v/>
      </c>
      <c r="F61" s="33" t="n"/>
    </row>
    <row r="62">
      <c r="A62" s="32" t="n"/>
      <c r="B62" s="32" t="n"/>
      <c r="C62" s="33" t="n"/>
      <c r="D62" s="33" t="n"/>
      <c r="E62" s="23">
        <f>IF(D62="","",D62*Parametres!$B$6)</f>
        <v/>
      </c>
      <c r="F62" s="33" t="n"/>
    </row>
    <row r="63">
      <c r="A63" s="32" t="n"/>
      <c r="B63" s="32" t="n"/>
      <c r="C63" s="33" t="n"/>
      <c r="D63" s="33" t="n"/>
      <c r="E63" s="23">
        <f>IF(D63="","",D63*Parametres!$B$6)</f>
        <v/>
      </c>
      <c r="F63" s="33" t="n"/>
    </row>
    <row r="64">
      <c r="A64" s="32" t="n"/>
      <c r="B64" s="32" t="n"/>
      <c r="C64" s="33" t="n"/>
      <c r="D64" s="33" t="n"/>
      <c r="E64" s="23">
        <f>IF(D64="","",D64*Parametres!$B$6)</f>
        <v/>
      </c>
      <c r="F64" s="33" t="n"/>
    </row>
    <row r="65">
      <c r="A65" s="32" t="n"/>
      <c r="B65" s="32" t="n"/>
      <c r="C65" s="33" t="n"/>
      <c r="D65" s="33" t="n"/>
      <c r="E65" s="23">
        <f>IF(D65="","",D65*Parametres!$B$6)</f>
        <v/>
      </c>
      <c r="F65" s="33" t="n"/>
    </row>
    <row r="66">
      <c r="A66" s="32" t="n"/>
      <c r="B66" s="32" t="n"/>
      <c r="C66" s="33" t="n"/>
      <c r="D66" s="33" t="n"/>
      <c r="E66" s="23">
        <f>IF(D66="","",D66*Parametres!$B$6)</f>
        <v/>
      </c>
      <c r="F66" s="33" t="n"/>
    </row>
    <row r="67">
      <c r="A67" s="32" t="n"/>
      <c r="B67" s="32" t="n"/>
      <c r="C67" s="33" t="n"/>
      <c r="D67" s="33" t="n"/>
      <c r="E67" s="23">
        <f>IF(D67="","",D67*Parametres!$B$6)</f>
        <v/>
      </c>
      <c r="F67" s="33" t="n"/>
    </row>
    <row r="68">
      <c r="A68" s="32" t="n"/>
      <c r="B68" s="32" t="n"/>
      <c r="C68" s="33" t="n"/>
      <c r="D68" s="33" t="n"/>
      <c r="E68" s="23">
        <f>IF(D68="","",D68*Parametres!$B$6)</f>
        <v/>
      </c>
      <c r="F68" s="33" t="n"/>
    </row>
    <row r="69">
      <c r="A69" s="32" t="n"/>
      <c r="B69" s="32" t="n"/>
      <c r="C69" s="33" t="n"/>
      <c r="D69" s="33" t="n"/>
      <c r="E69" s="23">
        <f>IF(D69="","",D69*Parametres!$B$6)</f>
        <v/>
      </c>
      <c r="F69" s="33" t="n"/>
    </row>
    <row r="70">
      <c r="A70" s="32" t="n"/>
      <c r="B70" s="32" t="n"/>
      <c r="C70" s="33" t="n"/>
      <c r="D70" s="33" t="n"/>
      <c r="E70" s="23">
        <f>IF(D70="","",D70*Parametres!$B$6)</f>
        <v/>
      </c>
      <c r="F70" s="33" t="n"/>
    </row>
    <row r="71">
      <c r="A71" s="32" t="n"/>
      <c r="B71" s="32" t="n"/>
      <c r="C71" s="33" t="n"/>
      <c r="D71" s="33" t="n"/>
      <c r="E71" s="23">
        <f>IF(D71="","",D71*Parametres!$B$6)</f>
        <v/>
      </c>
      <c r="F71" s="33" t="n"/>
    </row>
    <row r="72">
      <c r="A72" s="32" t="n"/>
      <c r="B72" s="32" t="n"/>
      <c r="C72" s="33" t="n"/>
      <c r="D72" s="33" t="n"/>
      <c r="E72" s="23">
        <f>IF(D72="","",D72*Parametres!$B$6)</f>
        <v/>
      </c>
      <c r="F72" s="33" t="n"/>
    </row>
    <row r="73">
      <c r="A73" s="32" t="n"/>
      <c r="B73" s="32" t="n"/>
      <c r="C73" s="33" t="n"/>
      <c r="D73" s="33" t="n"/>
      <c r="E73" s="23">
        <f>IF(D73="","",D73*Parametres!$B$6)</f>
        <v/>
      </c>
      <c r="F73" s="33" t="n"/>
    </row>
    <row r="74">
      <c r="A74" s="32" t="n"/>
      <c r="B74" s="32" t="n"/>
      <c r="C74" s="33" t="n"/>
      <c r="D74" s="33" t="n"/>
      <c r="E74" s="23">
        <f>IF(D74="","",D74*Parametres!$B$6)</f>
        <v/>
      </c>
      <c r="F74" s="33" t="n"/>
    </row>
    <row r="75">
      <c r="A75" s="32" t="n"/>
      <c r="B75" s="32" t="n"/>
      <c r="C75" s="33" t="n"/>
      <c r="D75" s="33" t="n"/>
      <c r="E75" s="23">
        <f>IF(D75="","",D75*Parametres!$B$6)</f>
        <v/>
      </c>
      <c r="F75" s="33" t="n"/>
    </row>
    <row r="76">
      <c r="A76" s="32" t="n"/>
      <c r="B76" s="32" t="n"/>
      <c r="C76" s="33" t="n"/>
      <c r="D76" s="33" t="n"/>
      <c r="E76" s="23">
        <f>IF(D76="","",D76*Parametres!$B$6)</f>
        <v/>
      </c>
      <c r="F76" s="33" t="n"/>
    </row>
    <row r="77">
      <c r="A77" s="32" t="n"/>
      <c r="B77" s="32" t="n"/>
      <c r="C77" s="33" t="n"/>
      <c r="D77" s="33" t="n"/>
      <c r="E77" s="23">
        <f>IF(D77="","",D77*Parametres!$B$6)</f>
        <v/>
      </c>
      <c r="F77" s="33" t="n"/>
    </row>
    <row r="78">
      <c r="A78" s="32" t="n"/>
      <c r="B78" s="32" t="n"/>
      <c r="C78" s="33" t="n"/>
      <c r="D78" s="33" t="n"/>
      <c r="E78" s="23">
        <f>IF(D78="","",D78*Parametres!$B$6)</f>
        <v/>
      </c>
      <c r="F78" s="33" t="n"/>
    </row>
    <row r="79">
      <c r="A79" s="32" t="n"/>
      <c r="B79" s="32" t="n"/>
      <c r="C79" s="33" t="n"/>
      <c r="D79" s="33" t="n"/>
      <c r="E79" s="23">
        <f>IF(D79="","",D79*Parametres!$B$6)</f>
        <v/>
      </c>
      <c r="F79" s="33" t="n"/>
    </row>
    <row r="80">
      <c r="A80" s="32" t="n"/>
      <c r="B80" s="32" t="n"/>
      <c r="C80" s="33" t="n"/>
      <c r="D80" s="33" t="n"/>
      <c r="E80" s="23">
        <f>IF(D80="","",D80*Parametres!$B$6)</f>
        <v/>
      </c>
      <c r="F80" s="33" t="n"/>
    </row>
    <row r="81">
      <c r="A81" s="32" t="n"/>
      <c r="B81" s="32" t="n"/>
      <c r="C81" s="33" t="n"/>
      <c r="D81" s="33" t="n"/>
      <c r="E81" s="23">
        <f>IF(D81="","",D81*Parametres!$B$6)</f>
        <v/>
      </c>
      <c r="F81" s="33" t="n"/>
    </row>
    <row r="82">
      <c r="A82" s="32" t="n"/>
      <c r="B82" s="32" t="n"/>
      <c r="C82" s="33" t="n"/>
      <c r="D82" s="33" t="n"/>
      <c r="E82" s="23">
        <f>IF(D82="","",D82*Parametres!$B$6)</f>
        <v/>
      </c>
      <c r="F82" s="33" t="n"/>
    </row>
    <row r="83">
      <c r="A83" s="32" t="n"/>
      <c r="B83" s="32" t="n"/>
      <c r="C83" s="33" t="n"/>
      <c r="D83" s="33" t="n"/>
      <c r="E83" s="23">
        <f>IF(D83="","",D83*Parametres!$B$6)</f>
        <v/>
      </c>
      <c r="F83" s="33" t="n"/>
    </row>
    <row r="84">
      <c r="A84" s="32" t="n"/>
      <c r="B84" s="32" t="n"/>
      <c r="C84" s="33" t="n"/>
      <c r="D84" s="33" t="n"/>
      <c r="E84" s="23">
        <f>IF(D84="","",D84*Parametres!$B$6)</f>
        <v/>
      </c>
      <c r="F84" s="33" t="n"/>
    </row>
    <row r="85">
      <c r="A85" s="32" t="n"/>
      <c r="B85" s="32" t="n"/>
      <c r="C85" s="33" t="n"/>
      <c r="D85" s="33" t="n"/>
      <c r="E85" s="23">
        <f>IF(D85="","",D85*Parametres!$B$6)</f>
        <v/>
      </c>
      <c r="F85" s="33" t="n"/>
    </row>
    <row r="86">
      <c r="A86" s="32" t="n"/>
      <c r="B86" s="32" t="n"/>
      <c r="C86" s="33" t="n"/>
      <c r="D86" s="33" t="n"/>
      <c r="E86" s="23">
        <f>IF(D86="","",D86*Parametres!$B$6)</f>
        <v/>
      </c>
      <c r="F86" s="33" t="n"/>
    </row>
    <row r="87">
      <c r="A87" s="32" t="n"/>
      <c r="B87" s="32" t="n"/>
      <c r="C87" s="33" t="n"/>
      <c r="D87" s="33" t="n"/>
      <c r="E87" s="23">
        <f>IF(D87="","",D87*Parametres!$B$6)</f>
        <v/>
      </c>
      <c r="F87" s="33" t="n"/>
    </row>
    <row r="88">
      <c r="A88" s="32" t="n"/>
      <c r="B88" s="32" t="n"/>
      <c r="C88" s="33" t="n"/>
      <c r="D88" s="33" t="n"/>
      <c r="E88" s="23">
        <f>IF(D88="","",D88*Parametres!$B$6)</f>
        <v/>
      </c>
      <c r="F88" s="33" t="n"/>
    </row>
    <row r="89">
      <c r="A89" s="32" t="n"/>
      <c r="B89" s="32" t="n"/>
      <c r="C89" s="33" t="n"/>
      <c r="D89" s="33" t="n"/>
      <c r="E89" s="23">
        <f>IF(D89="","",D89*Parametres!$B$6)</f>
        <v/>
      </c>
      <c r="F89" s="33" t="n"/>
    </row>
    <row r="90">
      <c r="A90" s="32" t="n"/>
      <c r="B90" s="32" t="n"/>
      <c r="C90" s="33" t="n"/>
      <c r="D90" s="33" t="n"/>
      <c r="E90" s="23">
        <f>IF(D90="","",D90*Parametres!$B$6)</f>
        <v/>
      </c>
      <c r="F90" s="33" t="n"/>
    </row>
    <row r="91">
      <c r="A91" s="32" t="n"/>
      <c r="B91" s="32" t="n"/>
      <c r="C91" s="33" t="n"/>
      <c r="D91" s="33" t="n"/>
      <c r="E91" s="23">
        <f>IF(D91="","",D91*Parametres!$B$6)</f>
        <v/>
      </c>
      <c r="F91" s="33" t="n"/>
    </row>
    <row r="92">
      <c r="A92" s="32" t="n"/>
      <c r="B92" s="32" t="n"/>
      <c r="C92" s="33" t="n"/>
      <c r="D92" s="33" t="n"/>
      <c r="E92" s="23">
        <f>IF(D92="","",D92*Parametres!$B$6)</f>
        <v/>
      </c>
      <c r="F92" s="33" t="n"/>
    </row>
    <row r="93">
      <c r="A93" s="32" t="n"/>
      <c r="B93" s="32" t="n"/>
      <c r="C93" s="33" t="n"/>
      <c r="D93" s="33" t="n"/>
      <c r="E93" s="23">
        <f>IF(D93="","",D93*Parametres!$B$6)</f>
        <v/>
      </c>
      <c r="F93" s="33" t="n"/>
    </row>
    <row r="94">
      <c r="A94" s="32" t="n"/>
      <c r="B94" s="32" t="n"/>
      <c r="C94" s="33" t="n"/>
      <c r="D94" s="33" t="n"/>
      <c r="E94" s="23">
        <f>IF(D94="","",D94*Parametres!$B$6)</f>
        <v/>
      </c>
      <c r="F94" s="33" t="n"/>
    </row>
    <row r="95">
      <c r="A95" s="32" t="n"/>
      <c r="B95" s="32" t="n"/>
      <c r="C95" s="33" t="n"/>
      <c r="D95" s="33" t="n"/>
      <c r="E95" s="23">
        <f>IF(D95="","",D95*Parametres!$B$6)</f>
        <v/>
      </c>
      <c r="F95" s="33" t="n"/>
    </row>
    <row r="96">
      <c r="A96" s="32" t="n"/>
      <c r="B96" s="32" t="n"/>
      <c r="C96" s="33" t="n"/>
      <c r="D96" s="33" t="n"/>
      <c r="E96" s="23">
        <f>IF(D96="","",D96*Parametres!$B$6)</f>
        <v/>
      </c>
      <c r="F96" s="33" t="n"/>
    </row>
    <row r="97">
      <c r="A97" s="32" t="n"/>
      <c r="B97" s="32" t="n"/>
      <c r="C97" s="33" t="n"/>
      <c r="D97" s="33" t="n"/>
      <c r="E97" s="23">
        <f>IF(D97="","",D97*Parametres!$B$6)</f>
        <v/>
      </c>
      <c r="F97" s="33" t="n"/>
    </row>
    <row r="98">
      <c r="A98" s="32" t="n"/>
      <c r="B98" s="32" t="n"/>
      <c r="C98" s="33" t="n"/>
      <c r="D98" s="33" t="n"/>
      <c r="E98" s="23">
        <f>IF(D98="","",D98*Parametres!$B$6)</f>
        <v/>
      </c>
      <c r="F98" s="33" t="n"/>
    </row>
    <row r="99">
      <c r="A99" s="32" t="n"/>
      <c r="B99" s="32" t="n"/>
      <c r="C99" s="33" t="n"/>
      <c r="D99" s="33" t="n"/>
      <c r="E99" s="23">
        <f>IF(D99="","",D99*Parametres!$B$6)</f>
        <v/>
      </c>
      <c r="F99" s="33" t="n"/>
    </row>
    <row r="100">
      <c r="A100" s="32" t="n"/>
      <c r="B100" s="32" t="n"/>
      <c r="C100" s="33" t="n"/>
      <c r="D100" s="33" t="n"/>
      <c r="E100" s="23">
        <f>IF(D100="","",D100*Parametres!$B$6)</f>
        <v/>
      </c>
      <c r="F100" s="33" t="n"/>
    </row>
    <row r="101">
      <c r="A101" s="32" t="n"/>
      <c r="B101" s="32" t="n"/>
      <c r="C101" s="33" t="n"/>
      <c r="D101" s="33" t="n"/>
      <c r="E101" s="23">
        <f>IF(D101="","",D101*Parametres!$B$6)</f>
        <v/>
      </c>
      <c r="F101" s="33" t="n"/>
    </row>
    <row r="102">
      <c r="A102" s="32" t="n"/>
      <c r="B102" s="32" t="n"/>
      <c r="C102" s="33" t="n"/>
      <c r="D102" s="33" t="n"/>
      <c r="E102" s="23">
        <f>IF(D102="","",D102*Parametres!$B$6)</f>
        <v/>
      </c>
      <c r="F102" s="33" t="n"/>
    </row>
    <row r="103">
      <c r="A103" s="32" t="n"/>
      <c r="B103" s="32" t="n"/>
      <c r="C103" s="33" t="n"/>
      <c r="D103" s="33" t="n"/>
      <c r="E103" s="23">
        <f>IF(D103="","",D103*Parametres!$B$6)</f>
        <v/>
      </c>
      <c r="F103" s="33" t="n"/>
    </row>
    <row r="104">
      <c r="A104" s="32" t="n"/>
      <c r="B104" s="32" t="n"/>
      <c r="C104" s="33" t="n"/>
      <c r="D104" s="33" t="n"/>
      <c r="E104" s="23">
        <f>IF(D104="","",D104*Parametres!$B$6)</f>
        <v/>
      </c>
      <c r="F104" s="33" t="n"/>
    </row>
    <row r="105">
      <c r="A105" s="32" t="n"/>
      <c r="B105" s="32" t="n"/>
      <c r="C105" s="33" t="n"/>
      <c r="D105" s="33" t="n"/>
      <c r="E105" s="23">
        <f>IF(D105="","",D105*Parametres!$B$6)</f>
        <v/>
      </c>
      <c r="F105" s="33" t="n"/>
    </row>
    <row r="106">
      <c r="A106" s="32" t="n"/>
      <c r="B106" s="32" t="n"/>
      <c r="C106" s="33" t="n"/>
      <c r="D106" s="33" t="n"/>
      <c r="E106" s="23">
        <f>IF(D106="","",D106*Parametres!$B$6)</f>
        <v/>
      </c>
      <c r="F106" s="33" t="n"/>
    </row>
    <row r="107">
      <c r="A107" s="32" t="n"/>
      <c r="B107" s="32" t="n"/>
      <c r="C107" s="33" t="n"/>
      <c r="D107" s="33" t="n"/>
      <c r="E107" s="23">
        <f>IF(D107="","",D107*Parametres!$B$6)</f>
        <v/>
      </c>
      <c r="F107" s="33" t="n"/>
    </row>
    <row r="108">
      <c r="A108" s="32" t="n"/>
      <c r="B108" s="32" t="n"/>
      <c r="C108" s="33" t="n"/>
      <c r="D108" s="33" t="n"/>
      <c r="E108" s="23">
        <f>IF(D108="","",D108*Parametres!$B$6)</f>
        <v/>
      </c>
      <c r="F108" s="33" t="n"/>
    </row>
    <row r="109">
      <c r="A109" s="32" t="n"/>
      <c r="B109" s="32" t="n"/>
      <c r="C109" s="33" t="n"/>
      <c r="D109" s="33" t="n"/>
      <c r="E109" s="23">
        <f>IF(D109="","",D109*Parametres!$B$6)</f>
        <v/>
      </c>
      <c r="F109" s="33" t="n"/>
    </row>
    <row r="110">
      <c r="A110" s="32" t="n"/>
      <c r="B110" s="32" t="n"/>
      <c r="C110" s="33" t="n"/>
      <c r="D110" s="33" t="n"/>
      <c r="E110" s="23">
        <f>IF(D110="","",D110*Parametres!$B$6)</f>
        <v/>
      </c>
      <c r="F110" s="33" t="n"/>
    </row>
    <row r="111">
      <c r="A111" s="32" t="n"/>
      <c r="B111" s="32" t="n"/>
      <c r="C111" s="33" t="n"/>
      <c r="D111" s="33" t="n"/>
      <c r="E111" s="23">
        <f>IF(D111="","",D111*Parametres!$B$6)</f>
        <v/>
      </c>
      <c r="F111" s="33" t="n"/>
    </row>
    <row r="112">
      <c r="A112" s="32" t="n"/>
      <c r="B112" s="32" t="n"/>
      <c r="C112" s="33" t="n"/>
      <c r="D112" s="33" t="n"/>
      <c r="E112" s="23">
        <f>IF(D112="","",D112*Parametres!$B$6)</f>
        <v/>
      </c>
      <c r="F112" s="33" t="n"/>
    </row>
    <row r="113">
      <c r="A113" s="32" t="n"/>
      <c r="B113" s="32" t="n"/>
      <c r="C113" s="33" t="n"/>
      <c r="D113" s="33" t="n"/>
      <c r="E113" s="23">
        <f>IF(D113="","",D113*Parametres!$B$6)</f>
        <v/>
      </c>
      <c r="F113" s="33" t="n"/>
    </row>
    <row r="114">
      <c r="A114" s="32" t="n"/>
      <c r="B114" s="32" t="n"/>
      <c r="C114" s="33" t="n"/>
      <c r="D114" s="33" t="n"/>
      <c r="E114" s="23">
        <f>IF(D114="","",D114*Parametres!$B$6)</f>
        <v/>
      </c>
      <c r="F114" s="33" t="n"/>
    </row>
    <row r="115">
      <c r="A115" s="32" t="n"/>
      <c r="B115" s="32" t="n"/>
      <c r="C115" s="33" t="n"/>
      <c r="D115" s="33" t="n"/>
      <c r="E115" s="23">
        <f>IF(D115="","",D115*Parametres!$B$6)</f>
        <v/>
      </c>
      <c r="F115" s="33" t="n"/>
    </row>
    <row r="116">
      <c r="A116" s="32" t="n"/>
      <c r="B116" s="32" t="n"/>
      <c r="C116" s="33" t="n"/>
      <c r="D116" s="33" t="n"/>
      <c r="E116" s="23">
        <f>IF(D116="","",D116*Parametres!$B$6)</f>
        <v/>
      </c>
      <c r="F116" s="33" t="n"/>
    </row>
    <row r="117">
      <c r="A117" s="32" t="n"/>
      <c r="B117" s="32" t="n"/>
      <c r="C117" s="33" t="n"/>
      <c r="D117" s="33" t="n"/>
      <c r="E117" s="23">
        <f>IF(D117="","",D117*Parametres!$B$6)</f>
        <v/>
      </c>
      <c r="F117" s="33" t="n"/>
    </row>
    <row r="118">
      <c r="A118" s="32" t="n"/>
      <c r="B118" s="32" t="n"/>
      <c r="C118" s="33" t="n"/>
      <c r="D118" s="33" t="n"/>
      <c r="E118" s="23">
        <f>IF(D118="","",D118*Parametres!$B$6)</f>
        <v/>
      </c>
      <c r="F118" s="33" t="n"/>
    </row>
    <row r="119">
      <c r="A119" s="32" t="n"/>
      <c r="B119" s="32" t="n"/>
      <c r="C119" s="33" t="n"/>
      <c r="D119" s="33" t="n"/>
      <c r="E119" s="23">
        <f>IF(D119="","",D119*Parametres!$B$6)</f>
        <v/>
      </c>
      <c r="F119" s="33" t="n"/>
    </row>
    <row r="120">
      <c r="A120" s="32" t="n"/>
      <c r="B120" s="32" t="n"/>
      <c r="C120" s="33" t="n"/>
      <c r="D120" s="33" t="n"/>
      <c r="E120" s="23">
        <f>IF(D120="","",D120*Parametres!$B$6)</f>
        <v/>
      </c>
      <c r="F120" s="33" t="n"/>
    </row>
    <row r="121">
      <c r="A121" s="32" t="n"/>
      <c r="B121" s="32" t="n"/>
      <c r="C121" s="33" t="n"/>
      <c r="D121" s="33" t="n"/>
      <c r="E121" s="23">
        <f>IF(D121="","",D121*Parametres!$B$6)</f>
        <v/>
      </c>
      <c r="F121" s="33" t="n"/>
    </row>
    <row r="122">
      <c r="A122" s="32" t="n"/>
      <c r="B122" s="32" t="n"/>
      <c r="C122" s="33" t="n"/>
      <c r="D122" s="33" t="n"/>
      <c r="E122" s="23">
        <f>IF(D122="","",D122*Parametres!$B$6)</f>
        <v/>
      </c>
      <c r="F122" s="33" t="n"/>
    </row>
    <row r="123">
      <c r="A123" s="32" t="n"/>
      <c r="B123" s="32" t="n"/>
      <c r="C123" s="33" t="n"/>
      <c r="D123" s="33" t="n"/>
      <c r="E123" s="23">
        <f>IF(D123="","",D123*Parametres!$B$6)</f>
        <v/>
      </c>
      <c r="F123" s="33" t="n"/>
    </row>
    <row r="124">
      <c r="A124" s="32" t="n"/>
      <c r="B124" s="32" t="n"/>
      <c r="C124" s="33" t="n"/>
      <c r="D124" s="33" t="n"/>
      <c r="E124" s="23">
        <f>IF(D124="","",D124*Parametres!$B$6)</f>
        <v/>
      </c>
      <c r="F124" s="33" t="n"/>
    </row>
    <row r="125">
      <c r="A125" s="32" t="n"/>
      <c r="B125" s="32" t="n"/>
      <c r="C125" s="33" t="n"/>
      <c r="D125" s="33" t="n"/>
      <c r="E125" s="23">
        <f>IF(D125="","",D125*Parametres!$B$6)</f>
        <v/>
      </c>
      <c r="F125" s="33" t="n"/>
    </row>
    <row r="126">
      <c r="A126" s="32" t="n"/>
      <c r="B126" s="32" t="n"/>
      <c r="C126" s="33" t="n"/>
      <c r="D126" s="33" t="n"/>
      <c r="E126" s="23">
        <f>IF(D126="","",D126*Parametres!$B$6)</f>
        <v/>
      </c>
      <c r="F126" s="33" t="n"/>
    </row>
    <row r="127">
      <c r="A127" s="32" t="n"/>
      <c r="B127" s="32" t="n"/>
      <c r="C127" s="33" t="n"/>
      <c r="D127" s="33" t="n"/>
      <c r="E127" s="23">
        <f>IF(D127="","",D127*Parametres!$B$6)</f>
        <v/>
      </c>
      <c r="F127" s="33" t="n"/>
    </row>
    <row r="128">
      <c r="A128" s="32" t="n"/>
      <c r="B128" s="32" t="n"/>
      <c r="C128" s="33" t="n"/>
      <c r="D128" s="33" t="n"/>
      <c r="E128" s="23">
        <f>IF(D128="","",D128*Parametres!$B$6)</f>
        <v/>
      </c>
      <c r="F128" s="33" t="n"/>
    </row>
    <row r="129">
      <c r="A129" s="32" t="n"/>
      <c r="B129" s="32" t="n"/>
      <c r="C129" s="33" t="n"/>
      <c r="D129" s="33" t="n"/>
      <c r="E129" s="23">
        <f>IF(D129="","",D129*Parametres!$B$6)</f>
        <v/>
      </c>
      <c r="F129" s="33" t="n"/>
    </row>
    <row r="130">
      <c r="A130" s="32" t="n"/>
      <c r="B130" s="32" t="n"/>
      <c r="C130" s="33" t="n"/>
      <c r="D130" s="33" t="n"/>
      <c r="E130" s="23">
        <f>IF(D130="","",D130*Parametres!$B$6)</f>
        <v/>
      </c>
      <c r="F130" s="33" t="n"/>
    </row>
    <row r="131">
      <c r="A131" s="32" t="n"/>
      <c r="B131" s="32" t="n"/>
      <c r="C131" s="33" t="n"/>
      <c r="D131" s="33" t="n"/>
      <c r="E131" s="23">
        <f>IF(D131="","",D131*Parametres!$B$6)</f>
        <v/>
      </c>
      <c r="F131" s="33" t="n"/>
    </row>
    <row r="132">
      <c r="A132" s="32" t="n"/>
      <c r="B132" s="32" t="n"/>
      <c r="C132" s="33" t="n"/>
      <c r="D132" s="33" t="n"/>
      <c r="E132" s="23">
        <f>IF(D132="","",D132*Parametres!$B$6)</f>
        <v/>
      </c>
      <c r="F132" s="33" t="n"/>
    </row>
    <row r="133">
      <c r="A133" s="32" t="n"/>
      <c r="B133" s="32" t="n"/>
      <c r="C133" s="33" t="n"/>
      <c r="D133" s="33" t="n"/>
      <c r="E133" s="23">
        <f>IF(D133="","",D133*Parametres!$B$6)</f>
        <v/>
      </c>
      <c r="F133" s="33" t="n"/>
    </row>
    <row r="134">
      <c r="A134" s="32" t="n"/>
      <c r="B134" s="32" t="n"/>
      <c r="C134" s="33" t="n"/>
      <c r="D134" s="33" t="n"/>
      <c r="E134" s="23">
        <f>IF(D134="","",D134*Parametres!$B$6)</f>
        <v/>
      </c>
      <c r="F134" s="33" t="n"/>
    </row>
    <row r="135">
      <c r="A135" s="32" t="n"/>
      <c r="B135" s="32" t="n"/>
      <c r="C135" s="33" t="n"/>
      <c r="D135" s="33" t="n"/>
      <c r="E135" s="23">
        <f>IF(D135="","",D135*Parametres!$B$6)</f>
        <v/>
      </c>
      <c r="F135" s="33" t="n"/>
    </row>
    <row r="136">
      <c r="A136" s="32" t="n"/>
      <c r="B136" s="32" t="n"/>
      <c r="C136" s="33" t="n"/>
      <c r="D136" s="33" t="n"/>
      <c r="E136" s="23">
        <f>IF(D136="","",D136*Parametres!$B$6)</f>
        <v/>
      </c>
      <c r="F136" s="33" t="n"/>
    </row>
    <row r="137">
      <c r="A137" s="32" t="n"/>
      <c r="B137" s="32" t="n"/>
      <c r="C137" s="33" t="n"/>
      <c r="D137" s="33" t="n"/>
      <c r="E137" s="23">
        <f>IF(D137="","",D137*Parametres!$B$6)</f>
        <v/>
      </c>
      <c r="F137" s="33" t="n"/>
    </row>
    <row r="138">
      <c r="A138" s="32" t="n"/>
      <c r="B138" s="32" t="n"/>
      <c r="C138" s="33" t="n"/>
      <c r="D138" s="33" t="n"/>
      <c r="E138" s="23">
        <f>IF(D138="","",D138*Parametres!$B$6)</f>
        <v/>
      </c>
      <c r="F138" s="33" t="n"/>
    </row>
    <row r="139">
      <c r="A139" s="32" t="n"/>
      <c r="B139" s="32" t="n"/>
      <c r="C139" s="33" t="n"/>
      <c r="D139" s="33" t="n"/>
      <c r="E139" s="23">
        <f>IF(D139="","",D139*Parametres!$B$6)</f>
        <v/>
      </c>
      <c r="F139" s="33" t="n"/>
    </row>
    <row r="140">
      <c r="A140" s="32" t="n"/>
      <c r="B140" s="32" t="n"/>
      <c r="C140" s="33" t="n"/>
      <c r="D140" s="33" t="n"/>
      <c r="E140" s="23">
        <f>IF(D140="","",D140*Parametres!$B$6)</f>
        <v/>
      </c>
      <c r="F140" s="33" t="n"/>
    </row>
    <row r="141">
      <c r="A141" s="32" t="n"/>
      <c r="B141" s="32" t="n"/>
      <c r="C141" s="33" t="n"/>
      <c r="D141" s="33" t="n"/>
      <c r="E141" s="23">
        <f>IF(D141="","",D141*Parametres!$B$6)</f>
        <v/>
      </c>
      <c r="F141" s="33" t="n"/>
    </row>
    <row r="142">
      <c r="A142" s="32" t="n"/>
      <c r="B142" s="32" t="n"/>
      <c r="C142" s="33" t="n"/>
      <c r="D142" s="33" t="n"/>
      <c r="E142" s="23">
        <f>IF(D142="","",D142*Parametres!$B$6)</f>
        <v/>
      </c>
      <c r="F142" s="33" t="n"/>
    </row>
    <row r="143">
      <c r="A143" s="32" t="n"/>
      <c r="B143" s="32" t="n"/>
      <c r="C143" s="33" t="n"/>
      <c r="D143" s="33" t="n"/>
      <c r="E143" s="23">
        <f>IF(D143="","",D143*Parametres!$B$6)</f>
        <v/>
      </c>
      <c r="F143" s="33" t="n"/>
    </row>
    <row r="144">
      <c r="A144" s="32" t="n"/>
      <c r="B144" s="32" t="n"/>
      <c r="C144" s="33" t="n"/>
      <c r="D144" s="33" t="n"/>
      <c r="E144" s="23">
        <f>IF(D144="","",D144*Parametres!$B$6)</f>
        <v/>
      </c>
      <c r="F144" s="33" t="n"/>
    </row>
    <row r="145">
      <c r="A145" s="32" t="n"/>
      <c r="B145" s="32" t="n"/>
      <c r="C145" s="33" t="n"/>
      <c r="D145" s="33" t="n"/>
      <c r="E145" s="23">
        <f>IF(D145="","",D145*Parametres!$B$6)</f>
        <v/>
      </c>
      <c r="F145" s="33" t="n"/>
    </row>
    <row r="146">
      <c r="A146" s="32" t="n"/>
      <c r="B146" s="32" t="n"/>
      <c r="C146" s="33" t="n"/>
      <c r="D146" s="33" t="n"/>
      <c r="E146" s="23">
        <f>IF(D146="","",D146*Parametres!$B$6)</f>
        <v/>
      </c>
      <c r="F146" s="33" t="n"/>
    </row>
    <row r="147">
      <c r="A147" s="32" t="n"/>
      <c r="B147" s="32" t="n"/>
      <c r="C147" s="33" t="n"/>
      <c r="D147" s="33" t="n"/>
      <c r="E147" s="23">
        <f>IF(D147="","",D147*Parametres!$B$6)</f>
        <v/>
      </c>
      <c r="F147" s="33" t="n"/>
    </row>
    <row r="148">
      <c r="A148" s="32" t="n"/>
      <c r="B148" s="32" t="n"/>
      <c r="C148" s="33" t="n"/>
      <c r="D148" s="33" t="n"/>
      <c r="E148" s="23">
        <f>IF(D148="","",D148*Parametres!$B$6)</f>
        <v/>
      </c>
      <c r="F148" s="33" t="n"/>
    </row>
    <row r="149">
      <c r="A149" s="32" t="n"/>
      <c r="B149" s="32" t="n"/>
      <c r="C149" s="33" t="n"/>
      <c r="D149" s="33" t="n"/>
      <c r="E149" s="23">
        <f>IF(D149="","",D149*Parametres!$B$6)</f>
        <v/>
      </c>
      <c r="F149" s="33" t="n"/>
    </row>
    <row r="150">
      <c r="A150" s="32" t="n"/>
      <c r="B150" s="32" t="n"/>
      <c r="C150" s="33" t="n"/>
      <c r="D150" s="33" t="n"/>
      <c r="E150" s="23">
        <f>IF(D150="","",D150*Parametres!$B$6)</f>
        <v/>
      </c>
      <c r="F150" s="33" t="n"/>
    </row>
    <row r="151">
      <c r="A151" s="32" t="n"/>
      <c r="B151" s="32" t="n"/>
      <c r="C151" s="33" t="n"/>
      <c r="D151" s="33" t="n"/>
      <c r="E151" s="23">
        <f>IF(D151="","",D151*Parametres!$B$6)</f>
        <v/>
      </c>
      <c r="F151" s="33" t="n"/>
    </row>
    <row r="152">
      <c r="A152" s="32" t="n"/>
      <c r="B152" s="32" t="n"/>
      <c r="C152" s="33" t="n"/>
      <c r="D152" s="33" t="n"/>
      <c r="E152" s="23">
        <f>IF(D152="","",D152*Parametres!$B$6)</f>
        <v/>
      </c>
      <c r="F152" s="33" t="n"/>
    </row>
    <row r="153">
      <c r="A153" s="32" t="n"/>
      <c r="B153" s="32" t="n"/>
      <c r="C153" s="33" t="n"/>
      <c r="D153" s="33" t="n"/>
      <c r="E153" s="23">
        <f>IF(D153="","",D153*Parametres!$B$6)</f>
        <v/>
      </c>
      <c r="F153" s="33" t="n"/>
    </row>
    <row r="154">
      <c r="A154" s="32" t="n"/>
      <c r="B154" s="32" t="n"/>
      <c r="C154" s="33" t="n"/>
      <c r="D154" s="33" t="n"/>
      <c r="E154" s="23">
        <f>IF(D154="","",D154*Parametres!$B$6)</f>
        <v/>
      </c>
      <c r="F154" s="33" t="n"/>
    </row>
    <row r="155">
      <c r="A155" s="32" t="n"/>
      <c r="B155" s="32" t="n"/>
      <c r="C155" s="33" t="n"/>
      <c r="D155" s="33" t="n"/>
      <c r="E155" s="23">
        <f>IF(D155="","",D155*Parametres!$B$6)</f>
        <v/>
      </c>
      <c r="F155" s="33" t="n"/>
    </row>
    <row r="156">
      <c r="A156" s="32" t="n"/>
      <c r="B156" s="32" t="n"/>
      <c r="C156" s="33" t="n"/>
      <c r="D156" s="33" t="n"/>
      <c r="E156" s="23">
        <f>IF(D156="","",D156*Parametres!$B$6)</f>
        <v/>
      </c>
      <c r="F156" s="33" t="n"/>
    </row>
    <row r="157">
      <c r="A157" s="32" t="n"/>
      <c r="B157" s="32" t="n"/>
      <c r="C157" s="33" t="n"/>
      <c r="D157" s="33" t="n"/>
      <c r="E157" s="23">
        <f>IF(D157="","",D157*Parametres!$B$6)</f>
        <v/>
      </c>
      <c r="F157" s="33" t="n"/>
    </row>
    <row r="158">
      <c r="A158" s="32" t="n"/>
      <c r="B158" s="32" t="n"/>
      <c r="C158" s="33" t="n"/>
      <c r="D158" s="33" t="n"/>
      <c r="E158" s="23">
        <f>IF(D158="","",D158*Parametres!$B$6)</f>
        <v/>
      </c>
      <c r="F158" s="33" t="n"/>
    </row>
    <row r="159">
      <c r="A159" s="32" t="n"/>
      <c r="B159" s="32" t="n"/>
      <c r="C159" s="33" t="n"/>
      <c r="D159" s="33" t="n"/>
      <c r="E159" s="23">
        <f>IF(D159="","",D159*Parametres!$B$6)</f>
        <v/>
      </c>
      <c r="F159" s="33" t="n"/>
    </row>
    <row r="160">
      <c r="A160" s="32" t="n"/>
      <c r="B160" s="32" t="n"/>
      <c r="C160" s="33" t="n"/>
      <c r="D160" s="33" t="n"/>
      <c r="E160" s="23">
        <f>IF(D160="","",D160*Parametres!$B$6)</f>
        <v/>
      </c>
      <c r="F160" s="33" t="n"/>
    </row>
    <row r="161">
      <c r="A161" s="32" t="n"/>
      <c r="B161" s="32" t="n"/>
      <c r="C161" s="33" t="n"/>
      <c r="D161" s="33" t="n"/>
      <c r="E161" s="23">
        <f>IF(D161="","",D161*Parametres!$B$6)</f>
        <v/>
      </c>
      <c r="F161" s="33" t="n"/>
    </row>
    <row r="162">
      <c r="A162" s="32" t="n"/>
      <c r="B162" s="32" t="n"/>
      <c r="C162" s="33" t="n"/>
      <c r="D162" s="33" t="n"/>
      <c r="E162" s="23">
        <f>IF(D162="","",D162*Parametres!$B$6)</f>
        <v/>
      </c>
      <c r="F162" s="33" t="n"/>
    </row>
    <row r="163">
      <c r="A163" s="32" t="n"/>
      <c r="B163" s="32" t="n"/>
      <c r="C163" s="33" t="n"/>
      <c r="D163" s="33" t="n"/>
      <c r="E163" s="23">
        <f>IF(D163="","",D163*Parametres!$B$6)</f>
        <v/>
      </c>
      <c r="F163" s="33" t="n"/>
    </row>
    <row r="164">
      <c r="A164" s="32" t="n"/>
      <c r="B164" s="32" t="n"/>
      <c r="C164" s="33" t="n"/>
      <c r="D164" s="33" t="n"/>
      <c r="E164" s="23">
        <f>IF(D164="","",D164*Parametres!$B$6)</f>
        <v/>
      </c>
      <c r="F164" s="33" t="n"/>
    </row>
    <row r="165">
      <c r="A165" s="32" t="n"/>
      <c r="B165" s="32" t="n"/>
      <c r="C165" s="33" t="n"/>
      <c r="D165" s="33" t="n"/>
      <c r="E165" s="23">
        <f>IF(D165="","",D165*Parametres!$B$6)</f>
        <v/>
      </c>
      <c r="F165" s="33" t="n"/>
    </row>
    <row r="166">
      <c r="A166" s="32" t="n"/>
      <c r="B166" s="32" t="n"/>
      <c r="C166" s="33" t="n"/>
      <c r="D166" s="33" t="n"/>
      <c r="E166" s="23">
        <f>IF(D166="","",D166*Parametres!$B$6)</f>
        <v/>
      </c>
      <c r="F166" s="33" t="n"/>
    </row>
    <row r="167">
      <c r="A167" s="32" t="n"/>
      <c r="B167" s="32" t="n"/>
      <c r="C167" s="33" t="n"/>
      <c r="D167" s="33" t="n"/>
      <c r="E167" s="23">
        <f>IF(D167="","",D167*Parametres!$B$6)</f>
        <v/>
      </c>
      <c r="F167" s="33" t="n"/>
    </row>
    <row r="168">
      <c r="A168" s="32" t="n"/>
      <c r="B168" s="32" t="n"/>
      <c r="C168" s="33" t="n"/>
      <c r="D168" s="33" t="n"/>
      <c r="E168" s="23">
        <f>IF(D168="","",D168*Parametres!$B$6)</f>
        <v/>
      </c>
      <c r="F168" s="33" t="n"/>
    </row>
    <row r="169">
      <c r="A169" s="32" t="n"/>
      <c r="B169" s="32" t="n"/>
      <c r="C169" s="33" t="n"/>
      <c r="D169" s="33" t="n"/>
      <c r="E169" s="23">
        <f>IF(D169="","",D169*Parametres!$B$6)</f>
        <v/>
      </c>
      <c r="F169" s="33" t="n"/>
    </row>
    <row r="170">
      <c r="A170" s="32" t="n"/>
      <c r="B170" s="32" t="n"/>
      <c r="C170" s="33" t="n"/>
      <c r="D170" s="33" t="n"/>
      <c r="E170" s="23">
        <f>IF(D170="","",D170*Parametres!$B$6)</f>
        <v/>
      </c>
      <c r="F170" s="33" t="n"/>
    </row>
    <row r="171">
      <c r="A171" s="32" t="n"/>
      <c r="B171" s="32" t="n"/>
      <c r="C171" s="33" t="n"/>
      <c r="D171" s="33" t="n"/>
      <c r="E171" s="23">
        <f>IF(D171="","",D171*Parametres!$B$6)</f>
        <v/>
      </c>
      <c r="F171" s="33" t="n"/>
    </row>
    <row r="172">
      <c r="A172" s="32" t="n"/>
      <c r="B172" s="32" t="n"/>
      <c r="C172" s="33" t="n"/>
      <c r="D172" s="33" t="n"/>
      <c r="E172" s="23">
        <f>IF(D172="","",D172*Parametres!$B$6)</f>
        <v/>
      </c>
      <c r="F172" s="33" t="n"/>
    </row>
    <row r="173">
      <c r="A173" s="32" t="n"/>
      <c r="B173" s="32" t="n"/>
      <c r="C173" s="33" t="n"/>
      <c r="D173" s="33" t="n"/>
      <c r="E173" s="23">
        <f>IF(D173="","",D173*Parametres!$B$6)</f>
        <v/>
      </c>
      <c r="F173" s="33" t="n"/>
    </row>
    <row r="174">
      <c r="A174" s="32" t="n"/>
      <c r="B174" s="32" t="n"/>
      <c r="C174" s="33" t="n"/>
      <c r="D174" s="33" t="n"/>
      <c r="E174" s="23">
        <f>IF(D174="","",D174*Parametres!$B$6)</f>
        <v/>
      </c>
      <c r="F174" s="33" t="n"/>
    </row>
    <row r="175">
      <c r="A175" s="32" t="n"/>
      <c r="B175" s="32" t="n"/>
      <c r="C175" s="33" t="n"/>
      <c r="D175" s="33" t="n"/>
      <c r="E175" s="23">
        <f>IF(D175="","",D175*Parametres!$B$6)</f>
        <v/>
      </c>
      <c r="F175" s="33" t="n"/>
    </row>
    <row r="176">
      <c r="A176" s="32" t="n"/>
      <c r="B176" s="32" t="n"/>
      <c r="C176" s="33" t="n"/>
      <c r="D176" s="33" t="n"/>
      <c r="E176" s="23">
        <f>IF(D176="","",D176*Parametres!$B$6)</f>
        <v/>
      </c>
      <c r="F176" s="33" t="n"/>
    </row>
    <row r="177">
      <c r="A177" s="32" t="n"/>
      <c r="B177" s="32" t="n"/>
      <c r="C177" s="33" t="n"/>
      <c r="D177" s="33" t="n"/>
      <c r="E177" s="23">
        <f>IF(D177="","",D177*Parametres!$B$6)</f>
        <v/>
      </c>
      <c r="F177" s="33" t="n"/>
    </row>
    <row r="178">
      <c r="A178" s="32" t="n"/>
      <c r="B178" s="32" t="n"/>
      <c r="C178" s="33" t="n"/>
      <c r="D178" s="33" t="n"/>
      <c r="E178" s="23">
        <f>IF(D178="","",D178*Parametres!$B$6)</f>
        <v/>
      </c>
      <c r="F178" s="33" t="n"/>
    </row>
    <row r="179">
      <c r="A179" s="32" t="n"/>
      <c r="B179" s="32" t="n"/>
      <c r="C179" s="33" t="n"/>
      <c r="D179" s="33" t="n"/>
      <c r="E179" s="23">
        <f>IF(D179="","",D179*Parametres!$B$6)</f>
        <v/>
      </c>
      <c r="F179" s="33" t="n"/>
    </row>
    <row r="180">
      <c r="A180" s="32" t="n"/>
      <c r="B180" s="32" t="n"/>
      <c r="C180" s="33" t="n"/>
      <c r="D180" s="33" t="n"/>
      <c r="E180" s="23">
        <f>IF(D180="","",D180*Parametres!$B$6)</f>
        <v/>
      </c>
      <c r="F180" s="33" t="n"/>
    </row>
    <row r="181">
      <c r="A181" s="32" t="n"/>
      <c r="B181" s="32" t="n"/>
      <c r="C181" s="33" t="n"/>
      <c r="D181" s="33" t="n"/>
      <c r="E181" s="23">
        <f>IF(D181="","",D181*Parametres!$B$6)</f>
        <v/>
      </c>
      <c r="F181" s="33" t="n"/>
    </row>
    <row r="182">
      <c r="A182" s="32" t="n"/>
      <c r="B182" s="32" t="n"/>
      <c r="C182" s="33" t="n"/>
      <c r="D182" s="33" t="n"/>
      <c r="E182" s="23">
        <f>IF(D182="","",D182*Parametres!$B$6)</f>
        <v/>
      </c>
      <c r="F182" s="33" t="n"/>
    </row>
    <row r="183">
      <c r="A183" s="32" t="n"/>
      <c r="B183" s="32" t="n"/>
      <c r="C183" s="33" t="n"/>
      <c r="D183" s="33" t="n"/>
      <c r="E183" s="23">
        <f>IF(D183="","",D183*Parametres!$B$6)</f>
        <v/>
      </c>
      <c r="F183" s="33" t="n"/>
    </row>
    <row r="184">
      <c r="A184" s="32" t="n"/>
      <c r="B184" s="32" t="n"/>
      <c r="C184" s="33" t="n"/>
      <c r="D184" s="33" t="n"/>
      <c r="E184" s="23">
        <f>IF(D184="","",D184*Parametres!$B$6)</f>
        <v/>
      </c>
      <c r="F184" s="33" t="n"/>
    </row>
    <row r="185">
      <c r="A185" s="32" t="n"/>
      <c r="B185" s="32" t="n"/>
      <c r="C185" s="33" t="n"/>
      <c r="D185" s="33" t="n"/>
      <c r="E185" s="23">
        <f>IF(D185="","",D185*Parametres!$B$6)</f>
        <v/>
      </c>
      <c r="F185" s="33" t="n"/>
    </row>
    <row r="186">
      <c r="A186" s="32" t="n"/>
      <c r="B186" s="32" t="n"/>
      <c r="C186" s="33" t="n"/>
      <c r="D186" s="33" t="n"/>
      <c r="E186" s="23">
        <f>IF(D186="","",D186*Parametres!$B$6)</f>
        <v/>
      </c>
      <c r="F186" s="33" t="n"/>
    </row>
    <row r="187">
      <c r="A187" s="32" t="n"/>
      <c r="B187" s="32" t="n"/>
      <c r="C187" s="33" t="n"/>
      <c r="D187" s="33" t="n"/>
      <c r="E187" s="23">
        <f>IF(D187="","",D187*Parametres!$B$6)</f>
        <v/>
      </c>
      <c r="F187" s="33" t="n"/>
    </row>
    <row r="188">
      <c r="A188" s="32" t="n"/>
      <c r="B188" s="32" t="n"/>
      <c r="C188" s="33" t="n"/>
      <c r="D188" s="33" t="n"/>
      <c r="E188" s="23">
        <f>IF(D188="","",D188*Parametres!$B$6)</f>
        <v/>
      </c>
      <c r="F188" s="33" t="n"/>
    </row>
    <row r="189">
      <c r="A189" s="32" t="n"/>
      <c r="B189" s="32" t="n"/>
      <c r="C189" s="33" t="n"/>
      <c r="D189" s="33" t="n"/>
      <c r="E189" s="23">
        <f>IF(D189="","",D189*Parametres!$B$6)</f>
        <v/>
      </c>
      <c r="F189" s="33" t="n"/>
    </row>
    <row r="190">
      <c r="A190" s="32" t="n"/>
      <c r="B190" s="32" t="n"/>
      <c r="C190" s="33" t="n"/>
      <c r="D190" s="33" t="n"/>
      <c r="E190" s="23">
        <f>IF(D190="","",D190*Parametres!$B$6)</f>
        <v/>
      </c>
      <c r="F190" s="33" t="n"/>
    </row>
    <row r="191">
      <c r="A191" s="32" t="n"/>
      <c r="B191" s="32" t="n"/>
      <c r="C191" s="33" t="n"/>
      <c r="D191" s="33" t="n"/>
      <c r="E191" s="23">
        <f>IF(D191="","",D191*Parametres!$B$6)</f>
        <v/>
      </c>
      <c r="F191" s="33" t="n"/>
    </row>
    <row r="192">
      <c r="A192" s="32" t="n"/>
      <c r="B192" s="32" t="n"/>
      <c r="C192" s="33" t="n"/>
      <c r="D192" s="33" t="n"/>
      <c r="E192" s="23">
        <f>IF(D192="","",D192*Parametres!$B$6)</f>
        <v/>
      </c>
      <c r="F192" s="33" t="n"/>
    </row>
    <row r="193">
      <c r="A193" s="32" t="n"/>
      <c r="B193" s="32" t="n"/>
      <c r="C193" s="33" t="n"/>
      <c r="D193" s="33" t="n"/>
      <c r="E193" s="23">
        <f>IF(D193="","",D193*Parametres!$B$6)</f>
        <v/>
      </c>
      <c r="F193" s="33" t="n"/>
    </row>
    <row r="194">
      <c r="A194" s="32" t="n"/>
      <c r="B194" s="32" t="n"/>
      <c r="C194" s="33" t="n"/>
      <c r="D194" s="33" t="n"/>
      <c r="E194" s="23">
        <f>IF(D194="","",D194*Parametres!$B$6)</f>
        <v/>
      </c>
      <c r="F194" s="33" t="n"/>
    </row>
    <row r="195">
      <c r="A195" s="32" t="n"/>
      <c r="B195" s="32" t="n"/>
      <c r="C195" s="33" t="n"/>
      <c r="D195" s="33" t="n"/>
      <c r="E195" s="23">
        <f>IF(D195="","",D195*Parametres!$B$6)</f>
        <v/>
      </c>
      <c r="F195" s="33" t="n"/>
    </row>
    <row r="196">
      <c r="A196" s="32" t="n"/>
      <c r="B196" s="32" t="n"/>
      <c r="C196" s="33" t="n"/>
      <c r="D196" s="33" t="n"/>
      <c r="E196" s="23">
        <f>IF(D196="","",D196*Parametres!$B$6)</f>
        <v/>
      </c>
      <c r="F196" s="33" t="n"/>
    </row>
    <row r="197">
      <c r="A197" s="32" t="n"/>
      <c r="B197" s="32" t="n"/>
      <c r="C197" s="33" t="n"/>
      <c r="D197" s="33" t="n"/>
      <c r="E197" s="23">
        <f>IF(D197="","",D197*Parametres!$B$6)</f>
        <v/>
      </c>
      <c r="F197" s="33" t="n"/>
    </row>
    <row r="198">
      <c r="A198" s="32" t="n"/>
      <c r="B198" s="32" t="n"/>
      <c r="C198" s="33" t="n"/>
      <c r="D198" s="33" t="n"/>
      <c r="E198" s="23">
        <f>IF(D198="","",D198*Parametres!$B$6)</f>
        <v/>
      </c>
      <c r="F198" s="33" t="n"/>
    </row>
    <row r="199">
      <c r="A199" s="32" t="n"/>
      <c r="B199" s="32" t="n"/>
      <c r="C199" s="33" t="n"/>
      <c r="D199" s="33" t="n"/>
      <c r="E199" s="23">
        <f>IF(D199="","",D199*Parametres!$B$6)</f>
        <v/>
      </c>
      <c r="F199" s="33" t="n"/>
    </row>
    <row r="200">
      <c r="A200" s="32" t="n"/>
      <c r="B200" s="32" t="n"/>
      <c r="C200" s="33" t="n"/>
      <c r="D200" s="33" t="n"/>
      <c r="E200" s="23">
        <f>IF(D200="","",D200*Parametres!$B$6)</f>
        <v/>
      </c>
      <c r="F200" s="33" t="n"/>
    </row>
    <row r="201">
      <c r="A201" s="32" t="n"/>
      <c r="B201" s="32" t="n"/>
      <c r="C201" s="33" t="n"/>
      <c r="D201" s="33" t="n"/>
      <c r="E201" s="23">
        <f>IF(D201="","",D201*Parametres!$B$6)</f>
        <v/>
      </c>
      <c r="F201" s="33" t="n"/>
    </row>
    <row r="202">
      <c r="A202" s="32" t="n"/>
      <c r="B202" s="32" t="n"/>
      <c r="C202" s="33" t="n"/>
      <c r="D202" s="33" t="n"/>
      <c r="E202" s="23">
        <f>IF(D202="","",D202*Parametres!$B$6)</f>
        <v/>
      </c>
      <c r="F202" s="33" t="n"/>
    </row>
    <row r="203">
      <c r="A203" s="32" t="n"/>
      <c r="B203" s="32" t="n"/>
      <c r="C203" s="33" t="n"/>
      <c r="D203" s="33" t="n"/>
      <c r="E203" s="23">
        <f>IF(D203="","",D203*Parametres!$B$6)</f>
        <v/>
      </c>
      <c r="F203" s="33" t="n"/>
    </row>
    <row r="204">
      <c r="A204" s="32" t="n"/>
      <c r="B204" s="32" t="n"/>
      <c r="C204" s="33" t="n"/>
      <c r="D204" s="33" t="n"/>
      <c r="E204" s="23">
        <f>IF(D204="","",D204*Parametres!$B$6)</f>
        <v/>
      </c>
      <c r="F204" s="33" t="n"/>
    </row>
  </sheetData>
  <dataValidations count="1">
    <dataValidation sqref="C5:C204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Janvier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JANVIER</t>
        </is>
      </c>
      <c r="B4" s="38">
        <f>IF(MONTH(DATE(Parametres!$B$5,1,1))&lt;&gt;1,"",DATE(Parametres!$B$5,1,1))</f>
        <v/>
      </c>
      <c r="C4" s="38">
        <f>IF(MONTH(DATE(Parametres!$B$5,1,2))&lt;&gt;1,"",DATE(Parametres!$B$5,1,2))</f>
        <v/>
      </c>
      <c r="D4" s="38">
        <f>IF(MONTH(DATE(Parametres!$B$5,1,3))&lt;&gt;1,"",DATE(Parametres!$B$5,1,3))</f>
        <v/>
      </c>
      <c r="E4" s="38">
        <f>IF(MONTH(DATE(Parametres!$B$5,1,4))&lt;&gt;1,"",DATE(Parametres!$B$5,1,4))</f>
        <v/>
      </c>
      <c r="F4" s="38">
        <f>IF(MONTH(DATE(Parametres!$B$5,1,5))&lt;&gt;1,"",DATE(Parametres!$B$5,1,5))</f>
        <v/>
      </c>
      <c r="G4" s="38">
        <f>IF(MONTH(DATE(Parametres!$B$5,1,6))&lt;&gt;1,"",DATE(Parametres!$B$5,1,6))</f>
        <v/>
      </c>
      <c r="H4" s="38">
        <f>IF(MONTH(DATE(Parametres!$B$5,1,7))&lt;&gt;1,"",DATE(Parametres!$B$5,1,7))</f>
        <v/>
      </c>
      <c r="I4" s="38">
        <f>IF(MONTH(DATE(Parametres!$B$5,1,8))&lt;&gt;1,"",DATE(Parametres!$B$5,1,8))</f>
        <v/>
      </c>
      <c r="J4" s="38">
        <f>IF(MONTH(DATE(Parametres!$B$5,1,9))&lt;&gt;1,"",DATE(Parametres!$B$5,1,9))</f>
        <v/>
      </c>
      <c r="K4" s="38">
        <f>IF(MONTH(DATE(Parametres!$B$5,1,10))&lt;&gt;1,"",DATE(Parametres!$B$5,1,10))</f>
        <v/>
      </c>
      <c r="L4" s="38">
        <f>IF(MONTH(DATE(Parametres!$B$5,1,11))&lt;&gt;1,"",DATE(Parametres!$B$5,1,11))</f>
        <v/>
      </c>
      <c r="M4" s="38">
        <f>IF(MONTH(DATE(Parametres!$B$5,1,12))&lt;&gt;1,"",DATE(Parametres!$B$5,1,12))</f>
        <v/>
      </c>
      <c r="N4" s="38">
        <f>IF(MONTH(DATE(Parametres!$B$5,1,13))&lt;&gt;1,"",DATE(Parametres!$B$5,1,13))</f>
        <v/>
      </c>
      <c r="O4" s="38">
        <f>IF(MONTH(DATE(Parametres!$B$5,1,14))&lt;&gt;1,"",DATE(Parametres!$B$5,1,14))</f>
        <v/>
      </c>
      <c r="P4" s="38">
        <f>IF(MONTH(DATE(Parametres!$B$5,1,15))&lt;&gt;1,"",DATE(Parametres!$B$5,1,15))</f>
        <v/>
      </c>
      <c r="Q4" s="38">
        <f>IF(MONTH(DATE(Parametres!$B$5,1,16))&lt;&gt;1,"",DATE(Parametres!$B$5,1,16))</f>
        <v/>
      </c>
      <c r="R4" s="38">
        <f>IF(MONTH(DATE(Parametres!$B$5,1,17))&lt;&gt;1,"",DATE(Parametres!$B$5,1,17))</f>
        <v/>
      </c>
      <c r="S4" s="38">
        <f>IF(MONTH(DATE(Parametres!$B$5,1,18))&lt;&gt;1,"",DATE(Parametres!$B$5,1,18))</f>
        <v/>
      </c>
      <c r="T4" s="38">
        <f>IF(MONTH(DATE(Parametres!$B$5,1,19))&lt;&gt;1,"",DATE(Parametres!$B$5,1,19))</f>
        <v/>
      </c>
      <c r="U4" s="38">
        <f>IF(MONTH(DATE(Parametres!$B$5,1,20))&lt;&gt;1,"",DATE(Parametres!$B$5,1,20))</f>
        <v/>
      </c>
      <c r="V4" s="38">
        <f>IF(MONTH(DATE(Parametres!$B$5,1,21))&lt;&gt;1,"",DATE(Parametres!$B$5,1,21))</f>
        <v/>
      </c>
      <c r="W4" s="38">
        <f>IF(MONTH(DATE(Parametres!$B$5,1,22))&lt;&gt;1,"",DATE(Parametres!$B$5,1,22))</f>
        <v/>
      </c>
      <c r="X4" s="38">
        <f>IF(MONTH(DATE(Parametres!$B$5,1,23))&lt;&gt;1,"",DATE(Parametres!$B$5,1,23))</f>
        <v/>
      </c>
      <c r="Y4" s="38">
        <f>IF(MONTH(DATE(Parametres!$B$5,1,24))&lt;&gt;1,"",DATE(Parametres!$B$5,1,24))</f>
        <v/>
      </c>
      <c r="Z4" s="38">
        <f>IF(MONTH(DATE(Parametres!$B$5,1,25))&lt;&gt;1,"",DATE(Parametres!$B$5,1,25))</f>
        <v/>
      </c>
      <c r="AA4" s="38">
        <f>IF(MONTH(DATE(Parametres!$B$5,1,26))&lt;&gt;1,"",DATE(Parametres!$B$5,1,26))</f>
        <v/>
      </c>
      <c r="AB4" s="38">
        <f>IF(MONTH(DATE(Parametres!$B$5,1,27))&lt;&gt;1,"",DATE(Parametres!$B$5,1,27))</f>
        <v/>
      </c>
      <c r="AC4" s="38">
        <f>IF(MONTH(DATE(Parametres!$B$5,1,28))&lt;&gt;1,"",DATE(Parametres!$B$5,1,28))</f>
        <v/>
      </c>
      <c r="AD4" s="38">
        <f>IF(MONTH(DATE(Parametres!$B$5,1,29))&lt;&gt;1,"",DATE(Parametres!$B$5,1,29))</f>
        <v/>
      </c>
      <c r="AE4" s="38">
        <f>IF(MONTH(DATE(Parametres!$B$5,1,30))&lt;&gt;1,"",DATE(Parametres!$B$5,1,30))</f>
        <v/>
      </c>
      <c r="AF4" s="38">
        <f>IF(MONTH(DATE(Parametres!$B$5,1,31))&lt;&gt;1,"",DATE(Parametres!$B$5,1,31))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Lignes grises = repos du cycle. Tape ou choisis ton code sur la ligne « Moi » (CA, CA HP, RTC, CET, CF, HS, RPS, ASA).</t>
        </is>
      </c>
    </row>
    <row r="9">
      <c r="A9" s="12" t="inlineStr">
        <is>
          <t>Seuls les codes posés sur un jour travaillé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5:AF6">
    <cfRule type="expression" priority="3" dxfId="2">
      <formula>B$5="R"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Fevrier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FEVRIER</t>
        </is>
      </c>
      <c r="B4" s="38">
        <f>IF(MONTH(DATE(Parametres!$B$5,2,1))&lt;&gt;2,"",DATE(Parametres!$B$5,2,1))</f>
        <v/>
      </c>
      <c r="C4" s="38">
        <f>IF(MONTH(DATE(Parametres!$B$5,2,2))&lt;&gt;2,"",DATE(Parametres!$B$5,2,2))</f>
        <v/>
      </c>
      <c r="D4" s="38">
        <f>IF(MONTH(DATE(Parametres!$B$5,2,3))&lt;&gt;2,"",DATE(Parametres!$B$5,2,3))</f>
        <v/>
      </c>
      <c r="E4" s="38">
        <f>IF(MONTH(DATE(Parametres!$B$5,2,4))&lt;&gt;2,"",DATE(Parametres!$B$5,2,4))</f>
        <v/>
      </c>
      <c r="F4" s="38">
        <f>IF(MONTH(DATE(Parametres!$B$5,2,5))&lt;&gt;2,"",DATE(Parametres!$B$5,2,5))</f>
        <v/>
      </c>
      <c r="G4" s="38">
        <f>IF(MONTH(DATE(Parametres!$B$5,2,6))&lt;&gt;2,"",DATE(Parametres!$B$5,2,6))</f>
        <v/>
      </c>
      <c r="H4" s="38">
        <f>IF(MONTH(DATE(Parametres!$B$5,2,7))&lt;&gt;2,"",DATE(Parametres!$B$5,2,7))</f>
        <v/>
      </c>
      <c r="I4" s="38">
        <f>IF(MONTH(DATE(Parametres!$B$5,2,8))&lt;&gt;2,"",DATE(Parametres!$B$5,2,8))</f>
        <v/>
      </c>
      <c r="J4" s="38">
        <f>IF(MONTH(DATE(Parametres!$B$5,2,9))&lt;&gt;2,"",DATE(Parametres!$B$5,2,9))</f>
        <v/>
      </c>
      <c r="K4" s="38">
        <f>IF(MONTH(DATE(Parametres!$B$5,2,10))&lt;&gt;2,"",DATE(Parametres!$B$5,2,10))</f>
        <v/>
      </c>
      <c r="L4" s="38">
        <f>IF(MONTH(DATE(Parametres!$B$5,2,11))&lt;&gt;2,"",DATE(Parametres!$B$5,2,11))</f>
        <v/>
      </c>
      <c r="M4" s="38">
        <f>IF(MONTH(DATE(Parametres!$B$5,2,12))&lt;&gt;2,"",DATE(Parametres!$B$5,2,12))</f>
        <v/>
      </c>
      <c r="N4" s="38">
        <f>IF(MONTH(DATE(Parametres!$B$5,2,13))&lt;&gt;2,"",DATE(Parametres!$B$5,2,13))</f>
        <v/>
      </c>
      <c r="O4" s="38">
        <f>IF(MONTH(DATE(Parametres!$B$5,2,14))&lt;&gt;2,"",DATE(Parametres!$B$5,2,14))</f>
        <v/>
      </c>
      <c r="P4" s="38">
        <f>IF(MONTH(DATE(Parametres!$B$5,2,15))&lt;&gt;2,"",DATE(Parametres!$B$5,2,15))</f>
        <v/>
      </c>
      <c r="Q4" s="38">
        <f>IF(MONTH(DATE(Parametres!$B$5,2,16))&lt;&gt;2,"",DATE(Parametres!$B$5,2,16))</f>
        <v/>
      </c>
      <c r="R4" s="38">
        <f>IF(MONTH(DATE(Parametres!$B$5,2,17))&lt;&gt;2,"",DATE(Parametres!$B$5,2,17))</f>
        <v/>
      </c>
      <c r="S4" s="38">
        <f>IF(MONTH(DATE(Parametres!$B$5,2,18))&lt;&gt;2,"",DATE(Parametres!$B$5,2,18))</f>
        <v/>
      </c>
      <c r="T4" s="38">
        <f>IF(MONTH(DATE(Parametres!$B$5,2,19))&lt;&gt;2,"",DATE(Parametres!$B$5,2,19))</f>
        <v/>
      </c>
      <c r="U4" s="38">
        <f>IF(MONTH(DATE(Parametres!$B$5,2,20))&lt;&gt;2,"",DATE(Parametres!$B$5,2,20))</f>
        <v/>
      </c>
      <c r="V4" s="38">
        <f>IF(MONTH(DATE(Parametres!$B$5,2,21))&lt;&gt;2,"",DATE(Parametres!$B$5,2,21))</f>
        <v/>
      </c>
      <c r="W4" s="38">
        <f>IF(MONTH(DATE(Parametres!$B$5,2,22))&lt;&gt;2,"",DATE(Parametres!$B$5,2,22))</f>
        <v/>
      </c>
      <c r="X4" s="38">
        <f>IF(MONTH(DATE(Parametres!$B$5,2,23))&lt;&gt;2,"",DATE(Parametres!$B$5,2,23))</f>
        <v/>
      </c>
      <c r="Y4" s="38">
        <f>IF(MONTH(DATE(Parametres!$B$5,2,24))&lt;&gt;2,"",DATE(Parametres!$B$5,2,24))</f>
        <v/>
      </c>
      <c r="Z4" s="38">
        <f>IF(MONTH(DATE(Parametres!$B$5,2,25))&lt;&gt;2,"",DATE(Parametres!$B$5,2,25))</f>
        <v/>
      </c>
      <c r="AA4" s="38">
        <f>IF(MONTH(DATE(Parametres!$B$5,2,26))&lt;&gt;2,"",DATE(Parametres!$B$5,2,26))</f>
        <v/>
      </c>
      <c r="AB4" s="38">
        <f>IF(MONTH(DATE(Parametres!$B$5,2,27))&lt;&gt;2,"",DATE(Parametres!$B$5,2,27))</f>
        <v/>
      </c>
      <c r="AC4" s="38">
        <f>IF(MONTH(DATE(Parametres!$B$5,2,28))&lt;&gt;2,"",DATE(Parametres!$B$5,2,28))</f>
        <v/>
      </c>
      <c r="AD4" s="38">
        <f>IF(MONTH(DATE(Parametres!$B$5,2,29))&lt;&gt;2,"",DATE(Parametres!$B$5,2,29))</f>
        <v/>
      </c>
      <c r="AE4" s="38">
        <f>IF(MONTH(DATE(Parametres!$B$5,2,30))&lt;&gt;2,"",DATE(Parametres!$B$5,2,30))</f>
        <v/>
      </c>
      <c r="AF4" s="38">
        <f>IF(MONTH(DATE(Parametres!$B$5,2,31))&lt;&gt;2,"",DATE(Parametres!$B$5,2,31))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Lignes grises = repos du cycle. Tape ou choisis ton code sur la ligne « Moi » (CA, CA HP, RTC, CET, CF, HS, RPS, ASA).</t>
        </is>
      </c>
    </row>
    <row r="9">
      <c r="A9" s="12" t="inlineStr">
        <is>
          <t>Seuls les codes posés sur un jour travaillé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5:AF6">
    <cfRule type="expression" priority="3" dxfId="2">
      <formula>B$5="R"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Mars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MARS</t>
        </is>
      </c>
      <c r="B4" s="38">
        <f>IF(MONTH(DATE(Parametres!$B$5,3,1))&lt;&gt;3,"",DATE(Parametres!$B$5,3,1))</f>
        <v/>
      </c>
      <c r="C4" s="38">
        <f>IF(MONTH(DATE(Parametres!$B$5,3,2))&lt;&gt;3,"",DATE(Parametres!$B$5,3,2))</f>
        <v/>
      </c>
      <c r="D4" s="38">
        <f>IF(MONTH(DATE(Parametres!$B$5,3,3))&lt;&gt;3,"",DATE(Parametres!$B$5,3,3))</f>
        <v/>
      </c>
      <c r="E4" s="38">
        <f>IF(MONTH(DATE(Parametres!$B$5,3,4))&lt;&gt;3,"",DATE(Parametres!$B$5,3,4))</f>
        <v/>
      </c>
      <c r="F4" s="38">
        <f>IF(MONTH(DATE(Parametres!$B$5,3,5))&lt;&gt;3,"",DATE(Parametres!$B$5,3,5))</f>
        <v/>
      </c>
      <c r="G4" s="38">
        <f>IF(MONTH(DATE(Parametres!$B$5,3,6))&lt;&gt;3,"",DATE(Parametres!$B$5,3,6))</f>
        <v/>
      </c>
      <c r="H4" s="38">
        <f>IF(MONTH(DATE(Parametres!$B$5,3,7))&lt;&gt;3,"",DATE(Parametres!$B$5,3,7))</f>
        <v/>
      </c>
      <c r="I4" s="38">
        <f>IF(MONTH(DATE(Parametres!$B$5,3,8))&lt;&gt;3,"",DATE(Parametres!$B$5,3,8))</f>
        <v/>
      </c>
      <c r="J4" s="38">
        <f>IF(MONTH(DATE(Parametres!$B$5,3,9))&lt;&gt;3,"",DATE(Parametres!$B$5,3,9))</f>
        <v/>
      </c>
      <c r="K4" s="38">
        <f>IF(MONTH(DATE(Parametres!$B$5,3,10))&lt;&gt;3,"",DATE(Parametres!$B$5,3,10))</f>
        <v/>
      </c>
      <c r="L4" s="38">
        <f>IF(MONTH(DATE(Parametres!$B$5,3,11))&lt;&gt;3,"",DATE(Parametres!$B$5,3,11))</f>
        <v/>
      </c>
      <c r="M4" s="38">
        <f>IF(MONTH(DATE(Parametres!$B$5,3,12))&lt;&gt;3,"",DATE(Parametres!$B$5,3,12))</f>
        <v/>
      </c>
      <c r="N4" s="38">
        <f>IF(MONTH(DATE(Parametres!$B$5,3,13))&lt;&gt;3,"",DATE(Parametres!$B$5,3,13))</f>
        <v/>
      </c>
      <c r="O4" s="38">
        <f>IF(MONTH(DATE(Parametres!$B$5,3,14))&lt;&gt;3,"",DATE(Parametres!$B$5,3,14))</f>
        <v/>
      </c>
      <c r="P4" s="38">
        <f>IF(MONTH(DATE(Parametres!$B$5,3,15))&lt;&gt;3,"",DATE(Parametres!$B$5,3,15))</f>
        <v/>
      </c>
      <c r="Q4" s="38">
        <f>IF(MONTH(DATE(Parametres!$B$5,3,16))&lt;&gt;3,"",DATE(Parametres!$B$5,3,16))</f>
        <v/>
      </c>
      <c r="R4" s="38">
        <f>IF(MONTH(DATE(Parametres!$B$5,3,17))&lt;&gt;3,"",DATE(Parametres!$B$5,3,17))</f>
        <v/>
      </c>
      <c r="S4" s="38">
        <f>IF(MONTH(DATE(Parametres!$B$5,3,18))&lt;&gt;3,"",DATE(Parametres!$B$5,3,18))</f>
        <v/>
      </c>
      <c r="T4" s="38">
        <f>IF(MONTH(DATE(Parametres!$B$5,3,19))&lt;&gt;3,"",DATE(Parametres!$B$5,3,19))</f>
        <v/>
      </c>
      <c r="U4" s="38">
        <f>IF(MONTH(DATE(Parametres!$B$5,3,20))&lt;&gt;3,"",DATE(Parametres!$B$5,3,20))</f>
        <v/>
      </c>
      <c r="V4" s="38">
        <f>IF(MONTH(DATE(Parametres!$B$5,3,21))&lt;&gt;3,"",DATE(Parametres!$B$5,3,21))</f>
        <v/>
      </c>
      <c r="W4" s="38">
        <f>IF(MONTH(DATE(Parametres!$B$5,3,22))&lt;&gt;3,"",DATE(Parametres!$B$5,3,22))</f>
        <v/>
      </c>
      <c r="X4" s="38">
        <f>IF(MONTH(DATE(Parametres!$B$5,3,23))&lt;&gt;3,"",DATE(Parametres!$B$5,3,23))</f>
        <v/>
      </c>
      <c r="Y4" s="38">
        <f>IF(MONTH(DATE(Parametres!$B$5,3,24))&lt;&gt;3,"",DATE(Parametres!$B$5,3,24))</f>
        <v/>
      </c>
      <c r="Z4" s="38">
        <f>IF(MONTH(DATE(Parametres!$B$5,3,25))&lt;&gt;3,"",DATE(Parametres!$B$5,3,25))</f>
        <v/>
      </c>
      <c r="AA4" s="38">
        <f>IF(MONTH(DATE(Parametres!$B$5,3,26))&lt;&gt;3,"",DATE(Parametres!$B$5,3,26))</f>
        <v/>
      </c>
      <c r="AB4" s="38">
        <f>IF(MONTH(DATE(Parametres!$B$5,3,27))&lt;&gt;3,"",DATE(Parametres!$B$5,3,27))</f>
        <v/>
      </c>
      <c r="AC4" s="38">
        <f>IF(MONTH(DATE(Parametres!$B$5,3,28))&lt;&gt;3,"",DATE(Parametres!$B$5,3,28))</f>
        <v/>
      </c>
      <c r="AD4" s="38">
        <f>IF(MONTH(DATE(Parametres!$B$5,3,29))&lt;&gt;3,"",DATE(Parametres!$B$5,3,29))</f>
        <v/>
      </c>
      <c r="AE4" s="38">
        <f>IF(MONTH(DATE(Parametres!$B$5,3,30))&lt;&gt;3,"",DATE(Parametres!$B$5,3,30))</f>
        <v/>
      </c>
      <c r="AF4" s="38">
        <f>IF(MONTH(DATE(Parametres!$B$5,3,31))&lt;&gt;3,"",DATE(Parametres!$B$5,3,31))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Lignes grises = repos du cycle. Tape ou choisis ton code sur la ligne « Moi » (CA, CA HP, RTC, CET, CF, HS, RPS, ASA).</t>
        </is>
      </c>
    </row>
    <row r="9">
      <c r="A9" s="12" t="inlineStr">
        <is>
          <t>Seuls les codes posés sur un jour travaillé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5:AF6">
    <cfRule type="expression" priority="3" dxfId="2">
      <formula>B$5="R"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Avril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AVRIL</t>
        </is>
      </c>
      <c r="B4" s="38">
        <f>IF(MONTH(DATE(Parametres!$B$5,4,1))&lt;&gt;4,"",DATE(Parametres!$B$5,4,1))</f>
        <v/>
      </c>
      <c r="C4" s="38">
        <f>IF(MONTH(DATE(Parametres!$B$5,4,2))&lt;&gt;4,"",DATE(Parametres!$B$5,4,2))</f>
        <v/>
      </c>
      <c r="D4" s="38">
        <f>IF(MONTH(DATE(Parametres!$B$5,4,3))&lt;&gt;4,"",DATE(Parametres!$B$5,4,3))</f>
        <v/>
      </c>
      <c r="E4" s="38">
        <f>IF(MONTH(DATE(Parametres!$B$5,4,4))&lt;&gt;4,"",DATE(Parametres!$B$5,4,4))</f>
        <v/>
      </c>
      <c r="F4" s="38">
        <f>IF(MONTH(DATE(Parametres!$B$5,4,5))&lt;&gt;4,"",DATE(Parametres!$B$5,4,5))</f>
        <v/>
      </c>
      <c r="G4" s="38">
        <f>IF(MONTH(DATE(Parametres!$B$5,4,6))&lt;&gt;4,"",DATE(Parametres!$B$5,4,6))</f>
        <v/>
      </c>
      <c r="H4" s="38">
        <f>IF(MONTH(DATE(Parametres!$B$5,4,7))&lt;&gt;4,"",DATE(Parametres!$B$5,4,7))</f>
        <v/>
      </c>
      <c r="I4" s="38">
        <f>IF(MONTH(DATE(Parametres!$B$5,4,8))&lt;&gt;4,"",DATE(Parametres!$B$5,4,8))</f>
        <v/>
      </c>
      <c r="J4" s="38">
        <f>IF(MONTH(DATE(Parametres!$B$5,4,9))&lt;&gt;4,"",DATE(Parametres!$B$5,4,9))</f>
        <v/>
      </c>
      <c r="K4" s="38">
        <f>IF(MONTH(DATE(Parametres!$B$5,4,10))&lt;&gt;4,"",DATE(Parametres!$B$5,4,10))</f>
        <v/>
      </c>
      <c r="L4" s="38">
        <f>IF(MONTH(DATE(Parametres!$B$5,4,11))&lt;&gt;4,"",DATE(Parametres!$B$5,4,11))</f>
        <v/>
      </c>
      <c r="M4" s="38">
        <f>IF(MONTH(DATE(Parametres!$B$5,4,12))&lt;&gt;4,"",DATE(Parametres!$B$5,4,12))</f>
        <v/>
      </c>
      <c r="N4" s="38">
        <f>IF(MONTH(DATE(Parametres!$B$5,4,13))&lt;&gt;4,"",DATE(Parametres!$B$5,4,13))</f>
        <v/>
      </c>
      <c r="O4" s="38">
        <f>IF(MONTH(DATE(Parametres!$B$5,4,14))&lt;&gt;4,"",DATE(Parametres!$B$5,4,14))</f>
        <v/>
      </c>
      <c r="P4" s="38">
        <f>IF(MONTH(DATE(Parametres!$B$5,4,15))&lt;&gt;4,"",DATE(Parametres!$B$5,4,15))</f>
        <v/>
      </c>
      <c r="Q4" s="38">
        <f>IF(MONTH(DATE(Parametres!$B$5,4,16))&lt;&gt;4,"",DATE(Parametres!$B$5,4,16))</f>
        <v/>
      </c>
      <c r="R4" s="38">
        <f>IF(MONTH(DATE(Parametres!$B$5,4,17))&lt;&gt;4,"",DATE(Parametres!$B$5,4,17))</f>
        <v/>
      </c>
      <c r="S4" s="38">
        <f>IF(MONTH(DATE(Parametres!$B$5,4,18))&lt;&gt;4,"",DATE(Parametres!$B$5,4,18))</f>
        <v/>
      </c>
      <c r="T4" s="38">
        <f>IF(MONTH(DATE(Parametres!$B$5,4,19))&lt;&gt;4,"",DATE(Parametres!$B$5,4,19))</f>
        <v/>
      </c>
      <c r="U4" s="38">
        <f>IF(MONTH(DATE(Parametres!$B$5,4,20))&lt;&gt;4,"",DATE(Parametres!$B$5,4,20))</f>
        <v/>
      </c>
      <c r="V4" s="38">
        <f>IF(MONTH(DATE(Parametres!$B$5,4,21))&lt;&gt;4,"",DATE(Parametres!$B$5,4,21))</f>
        <v/>
      </c>
      <c r="W4" s="38">
        <f>IF(MONTH(DATE(Parametres!$B$5,4,22))&lt;&gt;4,"",DATE(Parametres!$B$5,4,22))</f>
        <v/>
      </c>
      <c r="X4" s="38">
        <f>IF(MONTH(DATE(Parametres!$B$5,4,23))&lt;&gt;4,"",DATE(Parametres!$B$5,4,23))</f>
        <v/>
      </c>
      <c r="Y4" s="38">
        <f>IF(MONTH(DATE(Parametres!$B$5,4,24))&lt;&gt;4,"",DATE(Parametres!$B$5,4,24))</f>
        <v/>
      </c>
      <c r="Z4" s="38">
        <f>IF(MONTH(DATE(Parametres!$B$5,4,25))&lt;&gt;4,"",DATE(Parametres!$B$5,4,25))</f>
        <v/>
      </c>
      <c r="AA4" s="38">
        <f>IF(MONTH(DATE(Parametres!$B$5,4,26))&lt;&gt;4,"",DATE(Parametres!$B$5,4,26))</f>
        <v/>
      </c>
      <c r="AB4" s="38">
        <f>IF(MONTH(DATE(Parametres!$B$5,4,27))&lt;&gt;4,"",DATE(Parametres!$B$5,4,27))</f>
        <v/>
      </c>
      <c r="AC4" s="38">
        <f>IF(MONTH(DATE(Parametres!$B$5,4,28))&lt;&gt;4,"",DATE(Parametres!$B$5,4,28))</f>
        <v/>
      </c>
      <c r="AD4" s="38">
        <f>IF(MONTH(DATE(Parametres!$B$5,4,29))&lt;&gt;4,"",DATE(Parametres!$B$5,4,29))</f>
        <v/>
      </c>
      <c r="AE4" s="38">
        <f>IF(MONTH(DATE(Parametres!$B$5,4,30))&lt;&gt;4,"",DATE(Parametres!$B$5,4,30))</f>
        <v/>
      </c>
      <c r="AF4" s="38">
        <f>IF(MONTH(DATE(Parametres!$B$5,4,31))&lt;&gt;4,"",DATE(Parametres!$B$5,4,31))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Lignes grises = repos du cycle. Tape ou choisis ton code sur la ligne « Moi » (CA, CA HP, RTC, CET, CF, HS, RPS, ASA).</t>
        </is>
      </c>
    </row>
    <row r="9">
      <c r="A9" s="12" t="inlineStr">
        <is>
          <t>Seuls les codes posés sur un jour travaillé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5:AF6">
    <cfRule type="expression" priority="3" dxfId="2">
      <formula>B$5="R"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Mai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MAI</t>
        </is>
      </c>
      <c r="B4" s="38">
        <f>IF(MONTH(DATE(Parametres!$B$5,5,1))&lt;&gt;5,"",DATE(Parametres!$B$5,5,1))</f>
        <v/>
      </c>
      <c r="C4" s="38">
        <f>IF(MONTH(DATE(Parametres!$B$5,5,2))&lt;&gt;5,"",DATE(Parametres!$B$5,5,2))</f>
        <v/>
      </c>
      <c r="D4" s="38">
        <f>IF(MONTH(DATE(Parametres!$B$5,5,3))&lt;&gt;5,"",DATE(Parametres!$B$5,5,3))</f>
        <v/>
      </c>
      <c r="E4" s="38">
        <f>IF(MONTH(DATE(Parametres!$B$5,5,4))&lt;&gt;5,"",DATE(Parametres!$B$5,5,4))</f>
        <v/>
      </c>
      <c r="F4" s="38">
        <f>IF(MONTH(DATE(Parametres!$B$5,5,5))&lt;&gt;5,"",DATE(Parametres!$B$5,5,5))</f>
        <v/>
      </c>
      <c r="G4" s="38">
        <f>IF(MONTH(DATE(Parametres!$B$5,5,6))&lt;&gt;5,"",DATE(Parametres!$B$5,5,6))</f>
        <v/>
      </c>
      <c r="H4" s="38">
        <f>IF(MONTH(DATE(Parametres!$B$5,5,7))&lt;&gt;5,"",DATE(Parametres!$B$5,5,7))</f>
        <v/>
      </c>
      <c r="I4" s="38">
        <f>IF(MONTH(DATE(Parametres!$B$5,5,8))&lt;&gt;5,"",DATE(Parametres!$B$5,5,8))</f>
        <v/>
      </c>
      <c r="J4" s="38">
        <f>IF(MONTH(DATE(Parametres!$B$5,5,9))&lt;&gt;5,"",DATE(Parametres!$B$5,5,9))</f>
        <v/>
      </c>
      <c r="K4" s="38">
        <f>IF(MONTH(DATE(Parametres!$B$5,5,10))&lt;&gt;5,"",DATE(Parametres!$B$5,5,10))</f>
        <v/>
      </c>
      <c r="L4" s="38">
        <f>IF(MONTH(DATE(Parametres!$B$5,5,11))&lt;&gt;5,"",DATE(Parametres!$B$5,5,11))</f>
        <v/>
      </c>
      <c r="M4" s="38">
        <f>IF(MONTH(DATE(Parametres!$B$5,5,12))&lt;&gt;5,"",DATE(Parametres!$B$5,5,12))</f>
        <v/>
      </c>
      <c r="N4" s="38">
        <f>IF(MONTH(DATE(Parametres!$B$5,5,13))&lt;&gt;5,"",DATE(Parametres!$B$5,5,13))</f>
        <v/>
      </c>
      <c r="O4" s="38">
        <f>IF(MONTH(DATE(Parametres!$B$5,5,14))&lt;&gt;5,"",DATE(Parametres!$B$5,5,14))</f>
        <v/>
      </c>
      <c r="P4" s="38">
        <f>IF(MONTH(DATE(Parametres!$B$5,5,15))&lt;&gt;5,"",DATE(Parametres!$B$5,5,15))</f>
        <v/>
      </c>
      <c r="Q4" s="38">
        <f>IF(MONTH(DATE(Parametres!$B$5,5,16))&lt;&gt;5,"",DATE(Parametres!$B$5,5,16))</f>
        <v/>
      </c>
      <c r="R4" s="38">
        <f>IF(MONTH(DATE(Parametres!$B$5,5,17))&lt;&gt;5,"",DATE(Parametres!$B$5,5,17))</f>
        <v/>
      </c>
      <c r="S4" s="38">
        <f>IF(MONTH(DATE(Parametres!$B$5,5,18))&lt;&gt;5,"",DATE(Parametres!$B$5,5,18))</f>
        <v/>
      </c>
      <c r="T4" s="38">
        <f>IF(MONTH(DATE(Parametres!$B$5,5,19))&lt;&gt;5,"",DATE(Parametres!$B$5,5,19))</f>
        <v/>
      </c>
      <c r="U4" s="38">
        <f>IF(MONTH(DATE(Parametres!$B$5,5,20))&lt;&gt;5,"",DATE(Parametres!$B$5,5,20))</f>
        <v/>
      </c>
      <c r="V4" s="38">
        <f>IF(MONTH(DATE(Parametres!$B$5,5,21))&lt;&gt;5,"",DATE(Parametres!$B$5,5,21))</f>
        <v/>
      </c>
      <c r="W4" s="38">
        <f>IF(MONTH(DATE(Parametres!$B$5,5,22))&lt;&gt;5,"",DATE(Parametres!$B$5,5,22))</f>
        <v/>
      </c>
      <c r="X4" s="38">
        <f>IF(MONTH(DATE(Parametres!$B$5,5,23))&lt;&gt;5,"",DATE(Parametres!$B$5,5,23))</f>
        <v/>
      </c>
      <c r="Y4" s="38">
        <f>IF(MONTH(DATE(Parametres!$B$5,5,24))&lt;&gt;5,"",DATE(Parametres!$B$5,5,24))</f>
        <v/>
      </c>
      <c r="Z4" s="38">
        <f>IF(MONTH(DATE(Parametres!$B$5,5,25))&lt;&gt;5,"",DATE(Parametres!$B$5,5,25))</f>
        <v/>
      </c>
      <c r="AA4" s="38">
        <f>IF(MONTH(DATE(Parametres!$B$5,5,26))&lt;&gt;5,"",DATE(Parametres!$B$5,5,26))</f>
        <v/>
      </c>
      <c r="AB4" s="38">
        <f>IF(MONTH(DATE(Parametres!$B$5,5,27))&lt;&gt;5,"",DATE(Parametres!$B$5,5,27))</f>
        <v/>
      </c>
      <c r="AC4" s="38">
        <f>IF(MONTH(DATE(Parametres!$B$5,5,28))&lt;&gt;5,"",DATE(Parametres!$B$5,5,28))</f>
        <v/>
      </c>
      <c r="AD4" s="38">
        <f>IF(MONTH(DATE(Parametres!$B$5,5,29))&lt;&gt;5,"",DATE(Parametres!$B$5,5,29))</f>
        <v/>
      </c>
      <c r="AE4" s="38">
        <f>IF(MONTH(DATE(Parametres!$B$5,5,30))&lt;&gt;5,"",DATE(Parametres!$B$5,5,30))</f>
        <v/>
      </c>
      <c r="AF4" s="38">
        <f>IF(MONTH(DATE(Parametres!$B$5,5,31))&lt;&gt;5,"",DATE(Parametres!$B$5,5,31))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Lignes grises = repos du cycle. Tape ou choisis ton code sur la ligne « Moi » (CA, CA HP, RTC, CET, CF, HS, RPS, ASA).</t>
        </is>
      </c>
    </row>
    <row r="9">
      <c r="A9" s="12" t="inlineStr">
        <is>
          <t>Seuls les codes posés sur un jour travaillé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5:AF6">
    <cfRule type="expression" priority="3" dxfId="2">
      <formula>B$5="R"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Juin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JUIN</t>
        </is>
      </c>
      <c r="B4" s="38">
        <f>IF(MONTH(DATE(Parametres!$B$5,6,1))&lt;&gt;6,"",DATE(Parametres!$B$5,6,1))</f>
        <v/>
      </c>
      <c r="C4" s="38">
        <f>IF(MONTH(DATE(Parametres!$B$5,6,2))&lt;&gt;6,"",DATE(Parametres!$B$5,6,2))</f>
        <v/>
      </c>
      <c r="D4" s="38">
        <f>IF(MONTH(DATE(Parametres!$B$5,6,3))&lt;&gt;6,"",DATE(Parametres!$B$5,6,3))</f>
        <v/>
      </c>
      <c r="E4" s="38">
        <f>IF(MONTH(DATE(Parametres!$B$5,6,4))&lt;&gt;6,"",DATE(Parametres!$B$5,6,4))</f>
        <v/>
      </c>
      <c r="F4" s="38">
        <f>IF(MONTH(DATE(Parametres!$B$5,6,5))&lt;&gt;6,"",DATE(Parametres!$B$5,6,5))</f>
        <v/>
      </c>
      <c r="G4" s="38">
        <f>IF(MONTH(DATE(Parametres!$B$5,6,6))&lt;&gt;6,"",DATE(Parametres!$B$5,6,6))</f>
        <v/>
      </c>
      <c r="H4" s="38">
        <f>IF(MONTH(DATE(Parametres!$B$5,6,7))&lt;&gt;6,"",DATE(Parametres!$B$5,6,7))</f>
        <v/>
      </c>
      <c r="I4" s="38">
        <f>IF(MONTH(DATE(Parametres!$B$5,6,8))&lt;&gt;6,"",DATE(Parametres!$B$5,6,8))</f>
        <v/>
      </c>
      <c r="J4" s="38">
        <f>IF(MONTH(DATE(Parametres!$B$5,6,9))&lt;&gt;6,"",DATE(Parametres!$B$5,6,9))</f>
        <v/>
      </c>
      <c r="K4" s="38">
        <f>IF(MONTH(DATE(Parametres!$B$5,6,10))&lt;&gt;6,"",DATE(Parametres!$B$5,6,10))</f>
        <v/>
      </c>
      <c r="L4" s="38">
        <f>IF(MONTH(DATE(Parametres!$B$5,6,11))&lt;&gt;6,"",DATE(Parametres!$B$5,6,11))</f>
        <v/>
      </c>
      <c r="M4" s="38">
        <f>IF(MONTH(DATE(Parametres!$B$5,6,12))&lt;&gt;6,"",DATE(Parametres!$B$5,6,12))</f>
        <v/>
      </c>
      <c r="N4" s="38">
        <f>IF(MONTH(DATE(Parametres!$B$5,6,13))&lt;&gt;6,"",DATE(Parametres!$B$5,6,13))</f>
        <v/>
      </c>
      <c r="O4" s="38">
        <f>IF(MONTH(DATE(Parametres!$B$5,6,14))&lt;&gt;6,"",DATE(Parametres!$B$5,6,14))</f>
        <v/>
      </c>
      <c r="P4" s="38">
        <f>IF(MONTH(DATE(Parametres!$B$5,6,15))&lt;&gt;6,"",DATE(Parametres!$B$5,6,15))</f>
        <v/>
      </c>
      <c r="Q4" s="38">
        <f>IF(MONTH(DATE(Parametres!$B$5,6,16))&lt;&gt;6,"",DATE(Parametres!$B$5,6,16))</f>
        <v/>
      </c>
      <c r="R4" s="38">
        <f>IF(MONTH(DATE(Parametres!$B$5,6,17))&lt;&gt;6,"",DATE(Parametres!$B$5,6,17))</f>
        <v/>
      </c>
      <c r="S4" s="38">
        <f>IF(MONTH(DATE(Parametres!$B$5,6,18))&lt;&gt;6,"",DATE(Parametres!$B$5,6,18))</f>
        <v/>
      </c>
      <c r="T4" s="38">
        <f>IF(MONTH(DATE(Parametres!$B$5,6,19))&lt;&gt;6,"",DATE(Parametres!$B$5,6,19))</f>
        <v/>
      </c>
      <c r="U4" s="38">
        <f>IF(MONTH(DATE(Parametres!$B$5,6,20))&lt;&gt;6,"",DATE(Parametres!$B$5,6,20))</f>
        <v/>
      </c>
      <c r="V4" s="38">
        <f>IF(MONTH(DATE(Parametres!$B$5,6,21))&lt;&gt;6,"",DATE(Parametres!$B$5,6,21))</f>
        <v/>
      </c>
      <c r="W4" s="38">
        <f>IF(MONTH(DATE(Parametres!$B$5,6,22))&lt;&gt;6,"",DATE(Parametres!$B$5,6,22))</f>
        <v/>
      </c>
      <c r="X4" s="38">
        <f>IF(MONTH(DATE(Parametres!$B$5,6,23))&lt;&gt;6,"",DATE(Parametres!$B$5,6,23))</f>
        <v/>
      </c>
      <c r="Y4" s="38">
        <f>IF(MONTH(DATE(Parametres!$B$5,6,24))&lt;&gt;6,"",DATE(Parametres!$B$5,6,24))</f>
        <v/>
      </c>
      <c r="Z4" s="38">
        <f>IF(MONTH(DATE(Parametres!$B$5,6,25))&lt;&gt;6,"",DATE(Parametres!$B$5,6,25))</f>
        <v/>
      </c>
      <c r="AA4" s="38">
        <f>IF(MONTH(DATE(Parametres!$B$5,6,26))&lt;&gt;6,"",DATE(Parametres!$B$5,6,26))</f>
        <v/>
      </c>
      <c r="AB4" s="38">
        <f>IF(MONTH(DATE(Parametres!$B$5,6,27))&lt;&gt;6,"",DATE(Parametres!$B$5,6,27))</f>
        <v/>
      </c>
      <c r="AC4" s="38">
        <f>IF(MONTH(DATE(Parametres!$B$5,6,28))&lt;&gt;6,"",DATE(Parametres!$B$5,6,28))</f>
        <v/>
      </c>
      <c r="AD4" s="38">
        <f>IF(MONTH(DATE(Parametres!$B$5,6,29))&lt;&gt;6,"",DATE(Parametres!$B$5,6,29))</f>
        <v/>
      </c>
      <c r="AE4" s="38">
        <f>IF(MONTH(DATE(Parametres!$B$5,6,30))&lt;&gt;6,"",DATE(Parametres!$B$5,6,30))</f>
        <v/>
      </c>
      <c r="AF4" s="38">
        <f>IF(MONTH(DATE(Parametres!$B$5,6,31))&lt;&gt;6,"",DATE(Parametres!$B$5,6,31))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Lignes grises = repos du cycle. Tape ou choisis ton code sur la ligne « Moi » (CA, CA HP, RTC, CET, CF, HS, RPS, ASA).</t>
        </is>
      </c>
    </row>
    <row r="9">
      <c r="A9" s="12" t="inlineStr">
        <is>
          <t>Seuls les codes posés sur un jour travaillé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5:AF6">
    <cfRule type="expression" priority="3" dxfId="2">
      <formula>B$5="R"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Juillet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JUILLET</t>
        </is>
      </c>
      <c r="B4" s="38">
        <f>IF(MONTH(DATE(Parametres!$B$5,7,1))&lt;&gt;7,"",DATE(Parametres!$B$5,7,1))</f>
        <v/>
      </c>
      <c r="C4" s="38">
        <f>IF(MONTH(DATE(Parametres!$B$5,7,2))&lt;&gt;7,"",DATE(Parametres!$B$5,7,2))</f>
        <v/>
      </c>
      <c r="D4" s="38">
        <f>IF(MONTH(DATE(Parametres!$B$5,7,3))&lt;&gt;7,"",DATE(Parametres!$B$5,7,3))</f>
        <v/>
      </c>
      <c r="E4" s="38">
        <f>IF(MONTH(DATE(Parametres!$B$5,7,4))&lt;&gt;7,"",DATE(Parametres!$B$5,7,4))</f>
        <v/>
      </c>
      <c r="F4" s="38">
        <f>IF(MONTH(DATE(Parametres!$B$5,7,5))&lt;&gt;7,"",DATE(Parametres!$B$5,7,5))</f>
        <v/>
      </c>
      <c r="G4" s="38">
        <f>IF(MONTH(DATE(Parametres!$B$5,7,6))&lt;&gt;7,"",DATE(Parametres!$B$5,7,6))</f>
        <v/>
      </c>
      <c r="H4" s="38">
        <f>IF(MONTH(DATE(Parametres!$B$5,7,7))&lt;&gt;7,"",DATE(Parametres!$B$5,7,7))</f>
        <v/>
      </c>
      <c r="I4" s="38">
        <f>IF(MONTH(DATE(Parametres!$B$5,7,8))&lt;&gt;7,"",DATE(Parametres!$B$5,7,8))</f>
        <v/>
      </c>
      <c r="J4" s="38">
        <f>IF(MONTH(DATE(Parametres!$B$5,7,9))&lt;&gt;7,"",DATE(Parametres!$B$5,7,9))</f>
        <v/>
      </c>
      <c r="K4" s="38">
        <f>IF(MONTH(DATE(Parametres!$B$5,7,10))&lt;&gt;7,"",DATE(Parametres!$B$5,7,10))</f>
        <v/>
      </c>
      <c r="L4" s="38">
        <f>IF(MONTH(DATE(Parametres!$B$5,7,11))&lt;&gt;7,"",DATE(Parametres!$B$5,7,11))</f>
        <v/>
      </c>
      <c r="M4" s="38">
        <f>IF(MONTH(DATE(Parametres!$B$5,7,12))&lt;&gt;7,"",DATE(Parametres!$B$5,7,12))</f>
        <v/>
      </c>
      <c r="N4" s="38">
        <f>IF(MONTH(DATE(Parametres!$B$5,7,13))&lt;&gt;7,"",DATE(Parametres!$B$5,7,13))</f>
        <v/>
      </c>
      <c r="O4" s="38">
        <f>IF(MONTH(DATE(Parametres!$B$5,7,14))&lt;&gt;7,"",DATE(Parametres!$B$5,7,14))</f>
        <v/>
      </c>
      <c r="P4" s="38">
        <f>IF(MONTH(DATE(Parametres!$B$5,7,15))&lt;&gt;7,"",DATE(Parametres!$B$5,7,15))</f>
        <v/>
      </c>
      <c r="Q4" s="38">
        <f>IF(MONTH(DATE(Parametres!$B$5,7,16))&lt;&gt;7,"",DATE(Parametres!$B$5,7,16))</f>
        <v/>
      </c>
      <c r="R4" s="38">
        <f>IF(MONTH(DATE(Parametres!$B$5,7,17))&lt;&gt;7,"",DATE(Parametres!$B$5,7,17))</f>
        <v/>
      </c>
      <c r="S4" s="38">
        <f>IF(MONTH(DATE(Parametres!$B$5,7,18))&lt;&gt;7,"",DATE(Parametres!$B$5,7,18))</f>
        <v/>
      </c>
      <c r="T4" s="38">
        <f>IF(MONTH(DATE(Parametres!$B$5,7,19))&lt;&gt;7,"",DATE(Parametres!$B$5,7,19))</f>
        <v/>
      </c>
      <c r="U4" s="38">
        <f>IF(MONTH(DATE(Parametres!$B$5,7,20))&lt;&gt;7,"",DATE(Parametres!$B$5,7,20))</f>
        <v/>
      </c>
      <c r="V4" s="38">
        <f>IF(MONTH(DATE(Parametres!$B$5,7,21))&lt;&gt;7,"",DATE(Parametres!$B$5,7,21))</f>
        <v/>
      </c>
      <c r="W4" s="38">
        <f>IF(MONTH(DATE(Parametres!$B$5,7,22))&lt;&gt;7,"",DATE(Parametres!$B$5,7,22))</f>
        <v/>
      </c>
      <c r="X4" s="38">
        <f>IF(MONTH(DATE(Parametres!$B$5,7,23))&lt;&gt;7,"",DATE(Parametres!$B$5,7,23))</f>
        <v/>
      </c>
      <c r="Y4" s="38">
        <f>IF(MONTH(DATE(Parametres!$B$5,7,24))&lt;&gt;7,"",DATE(Parametres!$B$5,7,24))</f>
        <v/>
      </c>
      <c r="Z4" s="38">
        <f>IF(MONTH(DATE(Parametres!$B$5,7,25))&lt;&gt;7,"",DATE(Parametres!$B$5,7,25))</f>
        <v/>
      </c>
      <c r="AA4" s="38">
        <f>IF(MONTH(DATE(Parametres!$B$5,7,26))&lt;&gt;7,"",DATE(Parametres!$B$5,7,26))</f>
        <v/>
      </c>
      <c r="AB4" s="38">
        <f>IF(MONTH(DATE(Parametres!$B$5,7,27))&lt;&gt;7,"",DATE(Parametres!$B$5,7,27))</f>
        <v/>
      </c>
      <c r="AC4" s="38">
        <f>IF(MONTH(DATE(Parametres!$B$5,7,28))&lt;&gt;7,"",DATE(Parametres!$B$5,7,28))</f>
        <v/>
      </c>
      <c r="AD4" s="38">
        <f>IF(MONTH(DATE(Parametres!$B$5,7,29))&lt;&gt;7,"",DATE(Parametres!$B$5,7,29))</f>
        <v/>
      </c>
      <c r="AE4" s="38">
        <f>IF(MONTH(DATE(Parametres!$B$5,7,30))&lt;&gt;7,"",DATE(Parametres!$B$5,7,30))</f>
        <v/>
      </c>
      <c r="AF4" s="38">
        <f>IF(MONTH(DATE(Parametres!$B$5,7,31))&lt;&gt;7,"",DATE(Parametres!$B$5,7,31))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Lignes grises = repos du cycle. Tape ou choisis ton code sur la ligne « Moi » (CA, CA HP, RTC, CET, CF, HS, RPS, ASA).</t>
        </is>
      </c>
    </row>
    <row r="9">
      <c r="A9" s="12" t="inlineStr">
        <is>
          <t>Seuls les codes posés sur un jour travaillé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5:AF6">
    <cfRule type="expression" priority="3" dxfId="2">
      <formula>B$5="R"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Aout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AOUT</t>
        </is>
      </c>
      <c r="B4" s="38">
        <f>IF(MONTH(DATE(Parametres!$B$5,8,1))&lt;&gt;8,"",DATE(Parametres!$B$5,8,1))</f>
        <v/>
      </c>
      <c r="C4" s="38">
        <f>IF(MONTH(DATE(Parametres!$B$5,8,2))&lt;&gt;8,"",DATE(Parametres!$B$5,8,2))</f>
        <v/>
      </c>
      <c r="D4" s="38">
        <f>IF(MONTH(DATE(Parametres!$B$5,8,3))&lt;&gt;8,"",DATE(Parametres!$B$5,8,3))</f>
        <v/>
      </c>
      <c r="E4" s="38">
        <f>IF(MONTH(DATE(Parametres!$B$5,8,4))&lt;&gt;8,"",DATE(Parametres!$B$5,8,4))</f>
        <v/>
      </c>
      <c r="F4" s="38">
        <f>IF(MONTH(DATE(Parametres!$B$5,8,5))&lt;&gt;8,"",DATE(Parametres!$B$5,8,5))</f>
        <v/>
      </c>
      <c r="G4" s="38">
        <f>IF(MONTH(DATE(Parametres!$B$5,8,6))&lt;&gt;8,"",DATE(Parametres!$B$5,8,6))</f>
        <v/>
      </c>
      <c r="H4" s="38">
        <f>IF(MONTH(DATE(Parametres!$B$5,8,7))&lt;&gt;8,"",DATE(Parametres!$B$5,8,7))</f>
        <v/>
      </c>
      <c r="I4" s="38">
        <f>IF(MONTH(DATE(Parametres!$B$5,8,8))&lt;&gt;8,"",DATE(Parametres!$B$5,8,8))</f>
        <v/>
      </c>
      <c r="J4" s="38">
        <f>IF(MONTH(DATE(Parametres!$B$5,8,9))&lt;&gt;8,"",DATE(Parametres!$B$5,8,9))</f>
        <v/>
      </c>
      <c r="K4" s="38">
        <f>IF(MONTH(DATE(Parametres!$B$5,8,10))&lt;&gt;8,"",DATE(Parametres!$B$5,8,10))</f>
        <v/>
      </c>
      <c r="L4" s="38">
        <f>IF(MONTH(DATE(Parametres!$B$5,8,11))&lt;&gt;8,"",DATE(Parametres!$B$5,8,11))</f>
        <v/>
      </c>
      <c r="M4" s="38">
        <f>IF(MONTH(DATE(Parametres!$B$5,8,12))&lt;&gt;8,"",DATE(Parametres!$B$5,8,12))</f>
        <v/>
      </c>
      <c r="N4" s="38">
        <f>IF(MONTH(DATE(Parametres!$B$5,8,13))&lt;&gt;8,"",DATE(Parametres!$B$5,8,13))</f>
        <v/>
      </c>
      <c r="O4" s="38">
        <f>IF(MONTH(DATE(Parametres!$B$5,8,14))&lt;&gt;8,"",DATE(Parametres!$B$5,8,14))</f>
        <v/>
      </c>
      <c r="P4" s="38">
        <f>IF(MONTH(DATE(Parametres!$B$5,8,15))&lt;&gt;8,"",DATE(Parametres!$B$5,8,15))</f>
        <v/>
      </c>
      <c r="Q4" s="38">
        <f>IF(MONTH(DATE(Parametres!$B$5,8,16))&lt;&gt;8,"",DATE(Parametres!$B$5,8,16))</f>
        <v/>
      </c>
      <c r="R4" s="38">
        <f>IF(MONTH(DATE(Parametres!$B$5,8,17))&lt;&gt;8,"",DATE(Parametres!$B$5,8,17))</f>
        <v/>
      </c>
      <c r="S4" s="38">
        <f>IF(MONTH(DATE(Parametres!$B$5,8,18))&lt;&gt;8,"",DATE(Parametres!$B$5,8,18))</f>
        <v/>
      </c>
      <c r="T4" s="38">
        <f>IF(MONTH(DATE(Parametres!$B$5,8,19))&lt;&gt;8,"",DATE(Parametres!$B$5,8,19))</f>
        <v/>
      </c>
      <c r="U4" s="38">
        <f>IF(MONTH(DATE(Parametres!$B$5,8,20))&lt;&gt;8,"",DATE(Parametres!$B$5,8,20))</f>
        <v/>
      </c>
      <c r="V4" s="38">
        <f>IF(MONTH(DATE(Parametres!$B$5,8,21))&lt;&gt;8,"",DATE(Parametres!$B$5,8,21))</f>
        <v/>
      </c>
      <c r="W4" s="38">
        <f>IF(MONTH(DATE(Parametres!$B$5,8,22))&lt;&gt;8,"",DATE(Parametres!$B$5,8,22))</f>
        <v/>
      </c>
      <c r="X4" s="38">
        <f>IF(MONTH(DATE(Parametres!$B$5,8,23))&lt;&gt;8,"",DATE(Parametres!$B$5,8,23))</f>
        <v/>
      </c>
      <c r="Y4" s="38">
        <f>IF(MONTH(DATE(Parametres!$B$5,8,24))&lt;&gt;8,"",DATE(Parametres!$B$5,8,24))</f>
        <v/>
      </c>
      <c r="Z4" s="38">
        <f>IF(MONTH(DATE(Parametres!$B$5,8,25))&lt;&gt;8,"",DATE(Parametres!$B$5,8,25))</f>
        <v/>
      </c>
      <c r="AA4" s="38">
        <f>IF(MONTH(DATE(Parametres!$B$5,8,26))&lt;&gt;8,"",DATE(Parametres!$B$5,8,26))</f>
        <v/>
      </c>
      <c r="AB4" s="38">
        <f>IF(MONTH(DATE(Parametres!$B$5,8,27))&lt;&gt;8,"",DATE(Parametres!$B$5,8,27))</f>
        <v/>
      </c>
      <c r="AC4" s="38">
        <f>IF(MONTH(DATE(Parametres!$B$5,8,28))&lt;&gt;8,"",DATE(Parametres!$B$5,8,28))</f>
        <v/>
      </c>
      <c r="AD4" s="38">
        <f>IF(MONTH(DATE(Parametres!$B$5,8,29))&lt;&gt;8,"",DATE(Parametres!$B$5,8,29))</f>
        <v/>
      </c>
      <c r="AE4" s="38">
        <f>IF(MONTH(DATE(Parametres!$B$5,8,30))&lt;&gt;8,"",DATE(Parametres!$B$5,8,30))</f>
        <v/>
      </c>
      <c r="AF4" s="38">
        <f>IF(MONTH(DATE(Parametres!$B$5,8,31))&lt;&gt;8,"",DATE(Parametres!$B$5,8,31))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Lignes grises = repos du cycle. Tape ou choisis ton code sur la ligne « Moi » (CA, CA HP, RTC, CET, CF, HS, RPS, ASA).</t>
        </is>
      </c>
    </row>
    <row r="9">
      <c r="A9" s="12" t="inlineStr">
        <is>
          <t>Seuls les codes posés sur un jour travaillé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5:AF6">
    <cfRule type="expression" priority="3" dxfId="2">
      <formula>B$5="R"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Septembre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SEPTEMBRE</t>
        </is>
      </c>
      <c r="B4" s="38">
        <f>IF(MONTH(DATE(Parametres!$B$5,9,1))&lt;&gt;9,"",DATE(Parametres!$B$5,9,1))</f>
        <v/>
      </c>
      <c r="C4" s="38">
        <f>IF(MONTH(DATE(Parametres!$B$5,9,2))&lt;&gt;9,"",DATE(Parametres!$B$5,9,2))</f>
        <v/>
      </c>
      <c r="D4" s="38">
        <f>IF(MONTH(DATE(Parametres!$B$5,9,3))&lt;&gt;9,"",DATE(Parametres!$B$5,9,3))</f>
        <v/>
      </c>
      <c r="E4" s="38">
        <f>IF(MONTH(DATE(Parametres!$B$5,9,4))&lt;&gt;9,"",DATE(Parametres!$B$5,9,4))</f>
        <v/>
      </c>
      <c r="F4" s="38">
        <f>IF(MONTH(DATE(Parametres!$B$5,9,5))&lt;&gt;9,"",DATE(Parametres!$B$5,9,5))</f>
        <v/>
      </c>
      <c r="G4" s="38">
        <f>IF(MONTH(DATE(Parametres!$B$5,9,6))&lt;&gt;9,"",DATE(Parametres!$B$5,9,6))</f>
        <v/>
      </c>
      <c r="H4" s="38">
        <f>IF(MONTH(DATE(Parametres!$B$5,9,7))&lt;&gt;9,"",DATE(Parametres!$B$5,9,7))</f>
        <v/>
      </c>
      <c r="I4" s="38">
        <f>IF(MONTH(DATE(Parametres!$B$5,9,8))&lt;&gt;9,"",DATE(Parametres!$B$5,9,8))</f>
        <v/>
      </c>
      <c r="J4" s="38">
        <f>IF(MONTH(DATE(Parametres!$B$5,9,9))&lt;&gt;9,"",DATE(Parametres!$B$5,9,9))</f>
        <v/>
      </c>
      <c r="K4" s="38">
        <f>IF(MONTH(DATE(Parametres!$B$5,9,10))&lt;&gt;9,"",DATE(Parametres!$B$5,9,10))</f>
        <v/>
      </c>
      <c r="L4" s="38">
        <f>IF(MONTH(DATE(Parametres!$B$5,9,11))&lt;&gt;9,"",DATE(Parametres!$B$5,9,11))</f>
        <v/>
      </c>
      <c r="M4" s="38">
        <f>IF(MONTH(DATE(Parametres!$B$5,9,12))&lt;&gt;9,"",DATE(Parametres!$B$5,9,12))</f>
        <v/>
      </c>
      <c r="N4" s="38">
        <f>IF(MONTH(DATE(Parametres!$B$5,9,13))&lt;&gt;9,"",DATE(Parametres!$B$5,9,13))</f>
        <v/>
      </c>
      <c r="O4" s="38">
        <f>IF(MONTH(DATE(Parametres!$B$5,9,14))&lt;&gt;9,"",DATE(Parametres!$B$5,9,14))</f>
        <v/>
      </c>
      <c r="P4" s="38">
        <f>IF(MONTH(DATE(Parametres!$B$5,9,15))&lt;&gt;9,"",DATE(Parametres!$B$5,9,15))</f>
        <v/>
      </c>
      <c r="Q4" s="38">
        <f>IF(MONTH(DATE(Parametres!$B$5,9,16))&lt;&gt;9,"",DATE(Parametres!$B$5,9,16))</f>
        <v/>
      </c>
      <c r="R4" s="38">
        <f>IF(MONTH(DATE(Parametres!$B$5,9,17))&lt;&gt;9,"",DATE(Parametres!$B$5,9,17))</f>
        <v/>
      </c>
      <c r="S4" s="38">
        <f>IF(MONTH(DATE(Parametres!$B$5,9,18))&lt;&gt;9,"",DATE(Parametres!$B$5,9,18))</f>
        <v/>
      </c>
      <c r="T4" s="38">
        <f>IF(MONTH(DATE(Parametres!$B$5,9,19))&lt;&gt;9,"",DATE(Parametres!$B$5,9,19))</f>
        <v/>
      </c>
      <c r="U4" s="38">
        <f>IF(MONTH(DATE(Parametres!$B$5,9,20))&lt;&gt;9,"",DATE(Parametres!$B$5,9,20))</f>
        <v/>
      </c>
      <c r="V4" s="38">
        <f>IF(MONTH(DATE(Parametres!$B$5,9,21))&lt;&gt;9,"",DATE(Parametres!$B$5,9,21))</f>
        <v/>
      </c>
      <c r="W4" s="38">
        <f>IF(MONTH(DATE(Parametres!$B$5,9,22))&lt;&gt;9,"",DATE(Parametres!$B$5,9,22))</f>
        <v/>
      </c>
      <c r="X4" s="38">
        <f>IF(MONTH(DATE(Parametres!$B$5,9,23))&lt;&gt;9,"",DATE(Parametres!$B$5,9,23))</f>
        <v/>
      </c>
      <c r="Y4" s="38">
        <f>IF(MONTH(DATE(Parametres!$B$5,9,24))&lt;&gt;9,"",DATE(Parametres!$B$5,9,24))</f>
        <v/>
      </c>
      <c r="Z4" s="38">
        <f>IF(MONTH(DATE(Parametres!$B$5,9,25))&lt;&gt;9,"",DATE(Parametres!$B$5,9,25))</f>
        <v/>
      </c>
      <c r="AA4" s="38">
        <f>IF(MONTH(DATE(Parametres!$B$5,9,26))&lt;&gt;9,"",DATE(Parametres!$B$5,9,26))</f>
        <v/>
      </c>
      <c r="AB4" s="38">
        <f>IF(MONTH(DATE(Parametres!$B$5,9,27))&lt;&gt;9,"",DATE(Parametres!$B$5,9,27))</f>
        <v/>
      </c>
      <c r="AC4" s="38">
        <f>IF(MONTH(DATE(Parametres!$B$5,9,28))&lt;&gt;9,"",DATE(Parametres!$B$5,9,28))</f>
        <v/>
      </c>
      <c r="AD4" s="38">
        <f>IF(MONTH(DATE(Parametres!$B$5,9,29))&lt;&gt;9,"",DATE(Parametres!$B$5,9,29))</f>
        <v/>
      </c>
      <c r="AE4" s="38">
        <f>IF(MONTH(DATE(Parametres!$B$5,9,30))&lt;&gt;9,"",DATE(Parametres!$B$5,9,30))</f>
        <v/>
      </c>
      <c r="AF4" s="38">
        <f>IF(MONTH(DATE(Parametres!$B$5,9,31))&lt;&gt;9,"",DATE(Parametres!$B$5,9,31))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Lignes grises = repos du cycle. Tape ou choisis ton code sur la ligne « Moi » (CA, CA HP, RTC, CET, CF, HS, RPS, ASA).</t>
        </is>
      </c>
    </row>
    <row r="9">
      <c r="A9" s="12" t="inlineStr">
        <is>
          <t>Seuls les codes posés sur un jour travaillé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5:AF6">
    <cfRule type="expression" priority="3" dxfId="2">
      <formula>B$5="R"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Octobre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OCTOBRE</t>
        </is>
      </c>
      <c r="B4" s="38">
        <f>IF(MONTH(DATE(Parametres!$B$5,10,1))&lt;&gt;10,"",DATE(Parametres!$B$5,10,1))</f>
        <v/>
      </c>
      <c r="C4" s="38">
        <f>IF(MONTH(DATE(Parametres!$B$5,10,2))&lt;&gt;10,"",DATE(Parametres!$B$5,10,2))</f>
        <v/>
      </c>
      <c r="D4" s="38">
        <f>IF(MONTH(DATE(Parametres!$B$5,10,3))&lt;&gt;10,"",DATE(Parametres!$B$5,10,3))</f>
        <v/>
      </c>
      <c r="E4" s="38">
        <f>IF(MONTH(DATE(Parametres!$B$5,10,4))&lt;&gt;10,"",DATE(Parametres!$B$5,10,4))</f>
        <v/>
      </c>
      <c r="F4" s="38">
        <f>IF(MONTH(DATE(Parametres!$B$5,10,5))&lt;&gt;10,"",DATE(Parametres!$B$5,10,5))</f>
        <v/>
      </c>
      <c r="G4" s="38">
        <f>IF(MONTH(DATE(Parametres!$B$5,10,6))&lt;&gt;10,"",DATE(Parametres!$B$5,10,6))</f>
        <v/>
      </c>
      <c r="H4" s="38">
        <f>IF(MONTH(DATE(Parametres!$B$5,10,7))&lt;&gt;10,"",DATE(Parametres!$B$5,10,7))</f>
        <v/>
      </c>
      <c r="I4" s="38">
        <f>IF(MONTH(DATE(Parametres!$B$5,10,8))&lt;&gt;10,"",DATE(Parametres!$B$5,10,8))</f>
        <v/>
      </c>
      <c r="J4" s="38">
        <f>IF(MONTH(DATE(Parametres!$B$5,10,9))&lt;&gt;10,"",DATE(Parametres!$B$5,10,9))</f>
        <v/>
      </c>
      <c r="K4" s="38">
        <f>IF(MONTH(DATE(Parametres!$B$5,10,10))&lt;&gt;10,"",DATE(Parametres!$B$5,10,10))</f>
        <v/>
      </c>
      <c r="L4" s="38">
        <f>IF(MONTH(DATE(Parametres!$B$5,10,11))&lt;&gt;10,"",DATE(Parametres!$B$5,10,11))</f>
        <v/>
      </c>
      <c r="M4" s="38">
        <f>IF(MONTH(DATE(Parametres!$B$5,10,12))&lt;&gt;10,"",DATE(Parametres!$B$5,10,12))</f>
        <v/>
      </c>
      <c r="N4" s="38">
        <f>IF(MONTH(DATE(Parametres!$B$5,10,13))&lt;&gt;10,"",DATE(Parametres!$B$5,10,13))</f>
        <v/>
      </c>
      <c r="O4" s="38">
        <f>IF(MONTH(DATE(Parametres!$B$5,10,14))&lt;&gt;10,"",DATE(Parametres!$B$5,10,14))</f>
        <v/>
      </c>
      <c r="P4" s="38">
        <f>IF(MONTH(DATE(Parametres!$B$5,10,15))&lt;&gt;10,"",DATE(Parametres!$B$5,10,15))</f>
        <v/>
      </c>
      <c r="Q4" s="38">
        <f>IF(MONTH(DATE(Parametres!$B$5,10,16))&lt;&gt;10,"",DATE(Parametres!$B$5,10,16))</f>
        <v/>
      </c>
      <c r="R4" s="38">
        <f>IF(MONTH(DATE(Parametres!$B$5,10,17))&lt;&gt;10,"",DATE(Parametres!$B$5,10,17))</f>
        <v/>
      </c>
      <c r="S4" s="38">
        <f>IF(MONTH(DATE(Parametres!$B$5,10,18))&lt;&gt;10,"",DATE(Parametres!$B$5,10,18))</f>
        <v/>
      </c>
      <c r="T4" s="38">
        <f>IF(MONTH(DATE(Parametres!$B$5,10,19))&lt;&gt;10,"",DATE(Parametres!$B$5,10,19))</f>
        <v/>
      </c>
      <c r="U4" s="38">
        <f>IF(MONTH(DATE(Parametres!$B$5,10,20))&lt;&gt;10,"",DATE(Parametres!$B$5,10,20))</f>
        <v/>
      </c>
      <c r="V4" s="38">
        <f>IF(MONTH(DATE(Parametres!$B$5,10,21))&lt;&gt;10,"",DATE(Parametres!$B$5,10,21))</f>
        <v/>
      </c>
      <c r="W4" s="38">
        <f>IF(MONTH(DATE(Parametres!$B$5,10,22))&lt;&gt;10,"",DATE(Parametres!$B$5,10,22))</f>
        <v/>
      </c>
      <c r="X4" s="38">
        <f>IF(MONTH(DATE(Parametres!$B$5,10,23))&lt;&gt;10,"",DATE(Parametres!$B$5,10,23))</f>
        <v/>
      </c>
      <c r="Y4" s="38">
        <f>IF(MONTH(DATE(Parametres!$B$5,10,24))&lt;&gt;10,"",DATE(Parametres!$B$5,10,24))</f>
        <v/>
      </c>
      <c r="Z4" s="38">
        <f>IF(MONTH(DATE(Parametres!$B$5,10,25))&lt;&gt;10,"",DATE(Parametres!$B$5,10,25))</f>
        <v/>
      </c>
      <c r="AA4" s="38">
        <f>IF(MONTH(DATE(Parametres!$B$5,10,26))&lt;&gt;10,"",DATE(Parametres!$B$5,10,26))</f>
        <v/>
      </c>
      <c r="AB4" s="38">
        <f>IF(MONTH(DATE(Parametres!$B$5,10,27))&lt;&gt;10,"",DATE(Parametres!$B$5,10,27))</f>
        <v/>
      </c>
      <c r="AC4" s="38">
        <f>IF(MONTH(DATE(Parametres!$B$5,10,28))&lt;&gt;10,"",DATE(Parametres!$B$5,10,28))</f>
        <v/>
      </c>
      <c r="AD4" s="38">
        <f>IF(MONTH(DATE(Parametres!$B$5,10,29))&lt;&gt;10,"",DATE(Parametres!$B$5,10,29))</f>
        <v/>
      </c>
      <c r="AE4" s="38">
        <f>IF(MONTH(DATE(Parametres!$B$5,10,30))&lt;&gt;10,"",DATE(Parametres!$B$5,10,30))</f>
        <v/>
      </c>
      <c r="AF4" s="38">
        <f>IF(MONTH(DATE(Parametres!$B$5,10,31))&lt;&gt;10,"",DATE(Parametres!$B$5,10,31))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Lignes grises = repos du cycle. Tape ou choisis ton code sur la ligne « Moi » (CA, CA HP, RTC, CET, CF, HS, RPS, ASA).</t>
        </is>
      </c>
    </row>
    <row r="9">
      <c r="A9" s="12" t="inlineStr">
        <is>
          <t>Seuls les codes posés sur un jour travaillé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5:AF6">
    <cfRule type="expression" priority="3" dxfId="2">
      <formula>B$5="R"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Novembre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NOVEMBRE</t>
        </is>
      </c>
      <c r="B4" s="38">
        <f>IF(MONTH(DATE(Parametres!$B$5,11,1))&lt;&gt;11,"",DATE(Parametres!$B$5,11,1))</f>
        <v/>
      </c>
      <c r="C4" s="38">
        <f>IF(MONTH(DATE(Parametres!$B$5,11,2))&lt;&gt;11,"",DATE(Parametres!$B$5,11,2))</f>
        <v/>
      </c>
      <c r="D4" s="38">
        <f>IF(MONTH(DATE(Parametres!$B$5,11,3))&lt;&gt;11,"",DATE(Parametres!$B$5,11,3))</f>
        <v/>
      </c>
      <c r="E4" s="38">
        <f>IF(MONTH(DATE(Parametres!$B$5,11,4))&lt;&gt;11,"",DATE(Parametres!$B$5,11,4))</f>
        <v/>
      </c>
      <c r="F4" s="38">
        <f>IF(MONTH(DATE(Parametres!$B$5,11,5))&lt;&gt;11,"",DATE(Parametres!$B$5,11,5))</f>
        <v/>
      </c>
      <c r="G4" s="38">
        <f>IF(MONTH(DATE(Parametres!$B$5,11,6))&lt;&gt;11,"",DATE(Parametres!$B$5,11,6))</f>
        <v/>
      </c>
      <c r="H4" s="38">
        <f>IF(MONTH(DATE(Parametres!$B$5,11,7))&lt;&gt;11,"",DATE(Parametres!$B$5,11,7))</f>
        <v/>
      </c>
      <c r="I4" s="38">
        <f>IF(MONTH(DATE(Parametres!$B$5,11,8))&lt;&gt;11,"",DATE(Parametres!$B$5,11,8))</f>
        <v/>
      </c>
      <c r="J4" s="38">
        <f>IF(MONTH(DATE(Parametres!$B$5,11,9))&lt;&gt;11,"",DATE(Parametres!$B$5,11,9))</f>
        <v/>
      </c>
      <c r="K4" s="38">
        <f>IF(MONTH(DATE(Parametres!$B$5,11,10))&lt;&gt;11,"",DATE(Parametres!$B$5,11,10))</f>
        <v/>
      </c>
      <c r="L4" s="38">
        <f>IF(MONTH(DATE(Parametres!$B$5,11,11))&lt;&gt;11,"",DATE(Parametres!$B$5,11,11))</f>
        <v/>
      </c>
      <c r="M4" s="38">
        <f>IF(MONTH(DATE(Parametres!$B$5,11,12))&lt;&gt;11,"",DATE(Parametres!$B$5,11,12))</f>
        <v/>
      </c>
      <c r="N4" s="38">
        <f>IF(MONTH(DATE(Parametres!$B$5,11,13))&lt;&gt;11,"",DATE(Parametres!$B$5,11,13))</f>
        <v/>
      </c>
      <c r="O4" s="38">
        <f>IF(MONTH(DATE(Parametres!$B$5,11,14))&lt;&gt;11,"",DATE(Parametres!$B$5,11,14))</f>
        <v/>
      </c>
      <c r="P4" s="38">
        <f>IF(MONTH(DATE(Parametres!$B$5,11,15))&lt;&gt;11,"",DATE(Parametres!$B$5,11,15))</f>
        <v/>
      </c>
      <c r="Q4" s="38">
        <f>IF(MONTH(DATE(Parametres!$B$5,11,16))&lt;&gt;11,"",DATE(Parametres!$B$5,11,16))</f>
        <v/>
      </c>
      <c r="R4" s="38">
        <f>IF(MONTH(DATE(Parametres!$B$5,11,17))&lt;&gt;11,"",DATE(Parametres!$B$5,11,17))</f>
        <v/>
      </c>
      <c r="S4" s="38">
        <f>IF(MONTH(DATE(Parametres!$B$5,11,18))&lt;&gt;11,"",DATE(Parametres!$B$5,11,18))</f>
        <v/>
      </c>
      <c r="T4" s="38">
        <f>IF(MONTH(DATE(Parametres!$B$5,11,19))&lt;&gt;11,"",DATE(Parametres!$B$5,11,19))</f>
        <v/>
      </c>
      <c r="U4" s="38">
        <f>IF(MONTH(DATE(Parametres!$B$5,11,20))&lt;&gt;11,"",DATE(Parametres!$B$5,11,20))</f>
        <v/>
      </c>
      <c r="V4" s="38">
        <f>IF(MONTH(DATE(Parametres!$B$5,11,21))&lt;&gt;11,"",DATE(Parametres!$B$5,11,21))</f>
        <v/>
      </c>
      <c r="W4" s="38">
        <f>IF(MONTH(DATE(Parametres!$B$5,11,22))&lt;&gt;11,"",DATE(Parametres!$B$5,11,22))</f>
        <v/>
      </c>
      <c r="X4" s="38">
        <f>IF(MONTH(DATE(Parametres!$B$5,11,23))&lt;&gt;11,"",DATE(Parametres!$B$5,11,23))</f>
        <v/>
      </c>
      <c r="Y4" s="38">
        <f>IF(MONTH(DATE(Parametres!$B$5,11,24))&lt;&gt;11,"",DATE(Parametres!$B$5,11,24))</f>
        <v/>
      </c>
      <c r="Z4" s="38">
        <f>IF(MONTH(DATE(Parametres!$B$5,11,25))&lt;&gt;11,"",DATE(Parametres!$B$5,11,25))</f>
        <v/>
      </c>
      <c r="AA4" s="38">
        <f>IF(MONTH(DATE(Parametres!$B$5,11,26))&lt;&gt;11,"",DATE(Parametres!$B$5,11,26))</f>
        <v/>
      </c>
      <c r="AB4" s="38">
        <f>IF(MONTH(DATE(Parametres!$B$5,11,27))&lt;&gt;11,"",DATE(Parametres!$B$5,11,27))</f>
        <v/>
      </c>
      <c r="AC4" s="38">
        <f>IF(MONTH(DATE(Parametres!$B$5,11,28))&lt;&gt;11,"",DATE(Parametres!$B$5,11,28))</f>
        <v/>
      </c>
      <c r="AD4" s="38">
        <f>IF(MONTH(DATE(Parametres!$B$5,11,29))&lt;&gt;11,"",DATE(Parametres!$B$5,11,29))</f>
        <v/>
      </c>
      <c r="AE4" s="38">
        <f>IF(MONTH(DATE(Parametres!$B$5,11,30))&lt;&gt;11,"",DATE(Parametres!$B$5,11,30))</f>
        <v/>
      </c>
      <c r="AF4" s="38">
        <f>IF(MONTH(DATE(Parametres!$B$5,11,31))&lt;&gt;11,"",DATE(Parametres!$B$5,11,31))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Lignes grises = repos du cycle. Tape ou choisis ton code sur la ligne « Moi » (CA, CA HP, RTC, CET, CF, HS, RPS, ASA).</t>
        </is>
      </c>
    </row>
    <row r="9">
      <c r="A9" s="12" t="inlineStr">
        <is>
          <t>Seuls les codes posés sur un jour travaillé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5:AF6">
    <cfRule type="expression" priority="3" dxfId="2">
      <formula>B$5="R"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F9"/>
  <sheetViews>
    <sheetView zoomScale="11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</cols>
  <sheetData>
    <row r="1">
      <c r="A1" s="34">
        <f>"Mon planning – Decembre "&amp;Parametres!$B$5</f>
        <v/>
      </c>
    </row>
    <row r="3">
      <c r="A3" s="35" t="inlineStr"/>
      <c r="B3" s="36">
        <f>IF(B4="","",CHOOSE(WEEKDAY(B4,2),"Lu","Ma","Me","Je","Ve","Sa","Dim"))</f>
        <v/>
      </c>
      <c r="C3" s="36">
        <f>IF(C4="","",CHOOSE(WEEKDAY(C4,2),"Lu","Ma","Me","Je","Ve","Sa","Dim"))</f>
        <v/>
      </c>
      <c r="D3" s="36">
        <f>IF(D4="","",CHOOSE(WEEKDAY(D4,2),"Lu","Ma","Me","Je","Ve","Sa","Dim"))</f>
        <v/>
      </c>
      <c r="E3" s="36">
        <f>IF(E4="","",CHOOSE(WEEKDAY(E4,2),"Lu","Ma","Me","Je","Ve","Sa","Dim"))</f>
        <v/>
      </c>
      <c r="F3" s="36">
        <f>IF(F4="","",CHOOSE(WEEKDAY(F4,2),"Lu","Ma","Me","Je","Ve","Sa","Dim"))</f>
        <v/>
      </c>
      <c r="G3" s="36">
        <f>IF(G4="","",CHOOSE(WEEKDAY(G4,2),"Lu","Ma","Me","Je","Ve","Sa","Dim"))</f>
        <v/>
      </c>
      <c r="H3" s="36">
        <f>IF(H4="","",CHOOSE(WEEKDAY(H4,2),"Lu","Ma","Me","Je","Ve","Sa","Dim"))</f>
        <v/>
      </c>
      <c r="I3" s="36">
        <f>IF(I4="","",CHOOSE(WEEKDAY(I4,2),"Lu","Ma","Me","Je","Ve","Sa","Dim"))</f>
        <v/>
      </c>
      <c r="J3" s="36">
        <f>IF(J4="","",CHOOSE(WEEKDAY(J4,2),"Lu","Ma","Me","Je","Ve","Sa","Dim"))</f>
        <v/>
      </c>
      <c r="K3" s="36">
        <f>IF(K4="","",CHOOSE(WEEKDAY(K4,2),"Lu","Ma","Me","Je","Ve","Sa","Dim"))</f>
        <v/>
      </c>
      <c r="L3" s="36">
        <f>IF(L4="","",CHOOSE(WEEKDAY(L4,2),"Lu","Ma","Me","Je","Ve","Sa","Dim"))</f>
        <v/>
      </c>
      <c r="M3" s="36">
        <f>IF(M4="","",CHOOSE(WEEKDAY(M4,2),"Lu","Ma","Me","Je","Ve","Sa","Dim"))</f>
        <v/>
      </c>
      <c r="N3" s="36">
        <f>IF(N4="","",CHOOSE(WEEKDAY(N4,2),"Lu","Ma","Me","Je","Ve","Sa","Dim"))</f>
        <v/>
      </c>
      <c r="O3" s="36">
        <f>IF(O4="","",CHOOSE(WEEKDAY(O4,2),"Lu","Ma","Me","Je","Ve","Sa","Dim"))</f>
        <v/>
      </c>
      <c r="P3" s="36">
        <f>IF(P4="","",CHOOSE(WEEKDAY(P4,2),"Lu","Ma","Me","Je","Ve","Sa","Dim"))</f>
        <v/>
      </c>
      <c r="Q3" s="36">
        <f>IF(Q4="","",CHOOSE(WEEKDAY(Q4,2),"Lu","Ma","Me","Je","Ve","Sa","Dim"))</f>
        <v/>
      </c>
      <c r="R3" s="36">
        <f>IF(R4="","",CHOOSE(WEEKDAY(R4,2),"Lu","Ma","Me","Je","Ve","Sa","Dim"))</f>
        <v/>
      </c>
      <c r="S3" s="36">
        <f>IF(S4="","",CHOOSE(WEEKDAY(S4,2),"Lu","Ma","Me","Je","Ve","Sa","Dim"))</f>
        <v/>
      </c>
      <c r="T3" s="36">
        <f>IF(T4="","",CHOOSE(WEEKDAY(T4,2),"Lu","Ma","Me","Je","Ve","Sa","Dim"))</f>
        <v/>
      </c>
      <c r="U3" s="36">
        <f>IF(U4="","",CHOOSE(WEEKDAY(U4,2),"Lu","Ma","Me","Je","Ve","Sa","Dim"))</f>
        <v/>
      </c>
      <c r="V3" s="36">
        <f>IF(V4="","",CHOOSE(WEEKDAY(V4,2),"Lu","Ma","Me","Je","Ve","Sa","Dim"))</f>
        <v/>
      </c>
      <c r="W3" s="36">
        <f>IF(W4="","",CHOOSE(WEEKDAY(W4,2),"Lu","Ma","Me","Je","Ve","Sa","Dim"))</f>
        <v/>
      </c>
      <c r="X3" s="36">
        <f>IF(X4="","",CHOOSE(WEEKDAY(X4,2),"Lu","Ma","Me","Je","Ve","Sa","Dim"))</f>
        <v/>
      </c>
      <c r="Y3" s="36">
        <f>IF(Y4="","",CHOOSE(WEEKDAY(Y4,2),"Lu","Ma","Me","Je","Ve","Sa","Dim"))</f>
        <v/>
      </c>
      <c r="Z3" s="36">
        <f>IF(Z4="","",CHOOSE(WEEKDAY(Z4,2),"Lu","Ma","Me","Je","Ve","Sa","Dim"))</f>
        <v/>
      </c>
      <c r="AA3" s="36">
        <f>IF(AA4="","",CHOOSE(WEEKDAY(AA4,2),"Lu","Ma","Me","Je","Ve","Sa","Dim"))</f>
        <v/>
      </c>
      <c r="AB3" s="36">
        <f>IF(AB4="","",CHOOSE(WEEKDAY(AB4,2),"Lu","Ma","Me","Je","Ve","Sa","Dim"))</f>
        <v/>
      </c>
      <c r="AC3" s="36">
        <f>IF(AC4="","",CHOOSE(WEEKDAY(AC4,2),"Lu","Ma","Me","Je","Ve","Sa","Dim"))</f>
        <v/>
      </c>
      <c r="AD3" s="36">
        <f>IF(AD4="","",CHOOSE(WEEKDAY(AD4,2),"Lu","Ma","Me","Je","Ve","Sa","Dim"))</f>
        <v/>
      </c>
      <c r="AE3" s="36">
        <f>IF(AE4="","",CHOOSE(WEEKDAY(AE4,2),"Lu","Ma","Me","Je","Ve","Sa","Dim"))</f>
        <v/>
      </c>
      <c r="AF3" s="36">
        <f>IF(AF4="","",CHOOSE(WEEKDAY(AF4,2),"Lu","Ma","Me","Je","Ve","Sa","Dim"))</f>
        <v/>
      </c>
    </row>
    <row r="4">
      <c r="A4" s="37" t="inlineStr">
        <is>
          <t>DECEMBRE</t>
        </is>
      </c>
      <c r="B4" s="38">
        <f>IF(MONTH(DATE(Parametres!$B$5,12,1))&lt;&gt;12,"",DATE(Parametres!$B$5,12,1))</f>
        <v/>
      </c>
      <c r="C4" s="38">
        <f>IF(MONTH(DATE(Parametres!$B$5,12,2))&lt;&gt;12,"",DATE(Parametres!$B$5,12,2))</f>
        <v/>
      </c>
      <c r="D4" s="38">
        <f>IF(MONTH(DATE(Parametres!$B$5,12,3))&lt;&gt;12,"",DATE(Parametres!$B$5,12,3))</f>
        <v/>
      </c>
      <c r="E4" s="38">
        <f>IF(MONTH(DATE(Parametres!$B$5,12,4))&lt;&gt;12,"",DATE(Parametres!$B$5,12,4))</f>
        <v/>
      </c>
      <c r="F4" s="38">
        <f>IF(MONTH(DATE(Parametres!$B$5,12,5))&lt;&gt;12,"",DATE(Parametres!$B$5,12,5))</f>
        <v/>
      </c>
      <c r="G4" s="38">
        <f>IF(MONTH(DATE(Parametres!$B$5,12,6))&lt;&gt;12,"",DATE(Parametres!$B$5,12,6))</f>
        <v/>
      </c>
      <c r="H4" s="38">
        <f>IF(MONTH(DATE(Parametres!$B$5,12,7))&lt;&gt;12,"",DATE(Parametres!$B$5,12,7))</f>
        <v/>
      </c>
      <c r="I4" s="38">
        <f>IF(MONTH(DATE(Parametres!$B$5,12,8))&lt;&gt;12,"",DATE(Parametres!$B$5,12,8))</f>
        <v/>
      </c>
      <c r="J4" s="38">
        <f>IF(MONTH(DATE(Parametres!$B$5,12,9))&lt;&gt;12,"",DATE(Parametres!$B$5,12,9))</f>
        <v/>
      </c>
      <c r="K4" s="38">
        <f>IF(MONTH(DATE(Parametres!$B$5,12,10))&lt;&gt;12,"",DATE(Parametres!$B$5,12,10))</f>
        <v/>
      </c>
      <c r="L4" s="38">
        <f>IF(MONTH(DATE(Parametres!$B$5,12,11))&lt;&gt;12,"",DATE(Parametres!$B$5,12,11))</f>
        <v/>
      </c>
      <c r="M4" s="38">
        <f>IF(MONTH(DATE(Parametres!$B$5,12,12))&lt;&gt;12,"",DATE(Parametres!$B$5,12,12))</f>
        <v/>
      </c>
      <c r="N4" s="38">
        <f>IF(MONTH(DATE(Parametres!$B$5,12,13))&lt;&gt;12,"",DATE(Parametres!$B$5,12,13))</f>
        <v/>
      </c>
      <c r="O4" s="38">
        <f>IF(MONTH(DATE(Parametres!$B$5,12,14))&lt;&gt;12,"",DATE(Parametres!$B$5,12,14))</f>
        <v/>
      </c>
      <c r="P4" s="38">
        <f>IF(MONTH(DATE(Parametres!$B$5,12,15))&lt;&gt;12,"",DATE(Parametres!$B$5,12,15))</f>
        <v/>
      </c>
      <c r="Q4" s="38">
        <f>IF(MONTH(DATE(Parametres!$B$5,12,16))&lt;&gt;12,"",DATE(Parametres!$B$5,12,16))</f>
        <v/>
      </c>
      <c r="R4" s="38">
        <f>IF(MONTH(DATE(Parametres!$B$5,12,17))&lt;&gt;12,"",DATE(Parametres!$B$5,12,17))</f>
        <v/>
      </c>
      <c r="S4" s="38">
        <f>IF(MONTH(DATE(Parametres!$B$5,12,18))&lt;&gt;12,"",DATE(Parametres!$B$5,12,18))</f>
        <v/>
      </c>
      <c r="T4" s="38">
        <f>IF(MONTH(DATE(Parametres!$B$5,12,19))&lt;&gt;12,"",DATE(Parametres!$B$5,12,19))</f>
        <v/>
      </c>
      <c r="U4" s="38">
        <f>IF(MONTH(DATE(Parametres!$B$5,12,20))&lt;&gt;12,"",DATE(Parametres!$B$5,12,20))</f>
        <v/>
      </c>
      <c r="V4" s="38">
        <f>IF(MONTH(DATE(Parametres!$B$5,12,21))&lt;&gt;12,"",DATE(Parametres!$B$5,12,21))</f>
        <v/>
      </c>
      <c r="W4" s="38">
        <f>IF(MONTH(DATE(Parametres!$B$5,12,22))&lt;&gt;12,"",DATE(Parametres!$B$5,12,22))</f>
        <v/>
      </c>
      <c r="X4" s="38">
        <f>IF(MONTH(DATE(Parametres!$B$5,12,23))&lt;&gt;12,"",DATE(Parametres!$B$5,12,23))</f>
        <v/>
      </c>
      <c r="Y4" s="38">
        <f>IF(MONTH(DATE(Parametres!$B$5,12,24))&lt;&gt;12,"",DATE(Parametres!$B$5,12,24))</f>
        <v/>
      </c>
      <c r="Z4" s="38">
        <f>IF(MONTH(DATE(Parametres!$B$5,12,25))&lt;&gt;12,"",DATE(Parametres!$B$5,12,25))</f>
        <v/>
      </c>
      <c r="AA4" s="38">
        <f>IF(MONTH(DATE(Parametres!$B$5,12,26))&lt;&gt;12,"",DATE(Parametres!$B$5,12,26))</f>
        <v/>
      </c>
      <c r="AB4" s="38">
        <f>IF(MONTH(DATE(Parametres!$B$5,12,27))&lt;&gt;12,"",DATE(Parametres!$B$5,12,27))</f>
        <v/>
      </c>
      <c r="AC4" s="38">
        <f>IF(MONTH(DATE(Parametres!$B$5,12,28))&lt;&gt;12,"",DATE(Parametres!$B$5,12,28))</f>
        <v/>
      </c>
      <c r="AD4" s="38">
        <f>IF(MONTH(DATE(Parametres!$B$5,12,29))&lt;&gt;12,"",DATE(Parametres!$B$5,12,29))</f>
        <v/>
      </c>
      <c r="AE4" s="38">
        <f>IF(MONTH(DATE(Parametres!$B$5,12,30))&lt;&gt;12,"",DATE(Parametres!$B$5,12,30))</f>
        <v/>
      </c>
      <c r="AF4" s="38">
        <f>IF(MONTH(DATE(Parametres!$B$5,12,31))&lt;&gt;12,"",DATE(Parametres!$B$5,12,31))</f>
        <v/>
      </c>
    </row>
    <row r="5">
      <c r="A5" s="39" t="inlineStr">
        <is>
          <t>Cycle</t>
        </is>
      </c>
      <c r="B5" s="40">
        <f>IF(B4="","",MID(Parametres!$B$28,MOD(B4-Parametres!$B$27,LEN(Parametres!$B$28))+1,1))</f>
        <v/>
      </c>
      <c r="C5" s="40">
        <f>IF(C4="","",MID(Parametres!$B$28,MOD(C4-Parametres!$B$27,LEN(Parametres!$B$28))+1,1))</f>
        <v/>
      </c>
      <c r="D5" s="40">
        <f>IF(D4="","",MID(Parametres!$B$28,MOD(D4-Parametres!$B$27,LEN(Parametres!$B$28))+1,1))</f>
        <v/>
      </c>
      <c r="E5" s="40">
        <f>IF(E4="","",MID(Parametres!$B$28,MOD(E4-Parametres!$B$27,LEN(Parametres!$B$28))+1,1))</f>
        <v/>
      </c>
      <c r="F5" s="40">
        <f>IF(F4="","",MID(Parametres!$B$28,MOD(F4-Parametres!$B$27,LEN(Parametres!$B$28))+1,1))</f>
        <v/>
      </c>
      <c r="G5" s="40">
        <f>IF(G4="","",MID(Parametres!$B$28,MOD(G4-Parametres!$B$27,LEN(Parametres!$B$28))+1,1))</f>
        <v/>
      </c>
      <c r="H5" s="40">
        <f>IF(H4="","",MID(Parametres!$B$28,MOD(H4-Parametres!$B$27,LEN(Parametres!$B$28))+1,1))</f>
        <v/>
      </c>
      <c r="I5" s="40">
        <f>IF(I4="","",MID(Parametres!$B$28,MOD(I4-Parametres!$B$27,LEN(Parametres!$B$28))+1,1))</f>
        <v/>
      </c>
      <c r="J5" s="40">
        <f>IF(J4="","",MID(Parametres!$B$28,MOD(J4-Parametres!$B$27,LEN(Parametres!$B$28))+1,1))</f>
        <v/>
      </c>
      <c r="K5" s="40">
        <f>IF(K4="","",MID(Parametres!$B$28,MOD(K4-Parametres!$B$27,LEN(Parametres!$B$28))+1,1))</f>
        <v/>
      </c>
      <c r="L5" s="40">
        <f>IF(L4="","",MID(Parametres!$B$28,MOD(L4-Parametres!$B$27,LEN(Parametres!$B$28))+1,1))</f>
        <v/>
      </c>
      <c r="M5" s="40">
        <f>IF(M4="","",MID(Parametres!$B$28,MOD(M4-Parametres!$B$27,LEN(Parametres!$B$28))+1,1))</f>
        <v/>
      </c>
      <c r="N5" s="40">
        <f>IF(N4="","",MID(Parametres!$B$28,MOD(N4-Parametres!$B$27,LEN(Parametres!$B$28))+1,1))</f>
        <v/>
      </c>
      <c r="O5" s="40">
        <f>IF(O4="","",MID(Parametres!$B$28,MOD(O4-Parametres!$B$27,LEN(Parametres!$B$28))+1,1))</f>
        <v/>
      </c>
      <c r="P5" s="40">
        <f>IF(P4="","",MID(Parametres!$B$28,MOD(P4-Parametres!$B$27,LEN(Parametres!$B$28))+1,1))</f>
        <v/>
      </c>
      <c r="Q5" s="40">
        <f>IF(Q4="","",MID(Parametres!$B$28,MOD(Q4-Parametres!$B$27,LEN(Parametres!$B$28))+1,1))</f>
        <v/>
      </c>
      <c r="R5" s="40">
        <f>IF(R4="","",MID(Parametres!$B$28,MOD(R4-Parametres!$B$27,LEN(Parametres!$B$28))+1,1))</f>
        <v/>
      </c>
      <c r="S5" s="40">
        <f>IF(S4="","",MID(Parametres!$B$28,MOD(S4-Parametres!$B$27,LEN(Parametres!$B$28))+1,1))</f>
        <v/>
      </c>
      <c r="T5" s="40">
        <f>IF(T4="","",MID(Parametres!$B$28,MOD(T4-Parametres!$B$27,LEN(Parametres!$B$28))+1,1))</f>
        <v/>
      </c>
      <c r="U5" s="40">
        <f>IF(U4="","",MID(Parametres!$B$28,MOD(U4-Parametres!$B$27,LEN(Parametres!$B$28))+1,1))</f>
        <v/>
      </c>
      <c r="V5" s="40">
        <f>IF(V4="","",MID(Parametres!$B$28,MOD(V4-Parametres!$B$27,LEN(Parametres!$B$28))+1,1))</f>
        <v/>
      </c>
      <c r="W5" s="40">
        <f>IF(W4="","",MID(Parametres!$B$28,MOD(W4-Parametres!$B$27,LEN(Parametres!$B$28))+1,1))</f>
        <v/>
      </c>
      <c r="X5" s="40">
        <f>IF(X4="","",MID(Parametres!$B$28,MOD(X4-Parametres!$B$27,LEN(Parametres!$B$28))+1,1))</f>
        <v/>
      </c>
      <c r="Y5" s="40">
        <f>IF(Y4="","",MID(Parametres!$B$28,MOD(Y4-Parametres!$B$27,LEN(Parametres!$B$28))+1,1))</f>
        <v/>
      </c>
      <c r="Z5" s="40">
        <f>IF(Z4="","",MID(Parametres!$B$28,MOD(Z4-Parametres!$B$27,LEN(Parametres!$B$28))+1,1))</f>
        <v/>
      </c>
      <c r="AA5" s="40">
        <f>IF(AA4="","",MID(Parametres!$B$28,MOD(AA4-Parametres!$B$27,LEN(Parametres!$B$28))+1,1))</f>
        <v/>
      </c>
      <c r="AB5" s="40">
        <f>IF(AB4="","",MID(Parametres!$B$28,MOD(AB4-Parametres!$B$27,LEN(Parametres!$B$28))+1,1))</f>
        <v/>
      </c>
      <c r="AC5" s="40">
        <f>IF(AC4="","",MID(Parametres!$B$28,MOD(AC4-Parametres!$B$27,LEN(Parametres!$B$28))+1,1))</f>
        <v/>
      </c>
      <c r="AD5" s="40">
        <f>IF(AD4="","",MID(Parametres!$B$28,MOD(AD4-Parametres!$B$27,LEN(Parametres!$B$28))+1,1))</f>
        <v/>
      </c>
      <c r="AE5" s="40">
        <f>IF(AE4="","",MID(Parametres!$B$28,MOD(AE4-Parametres!$B$27,LEN(Parametres!$B$28))+1,1))</f>
        <v/>
      </c>
      <c r="AF5" s="40">
        <f>IF(AF4="","",MID(Parametres!$B$28,MOD(AF4-Parametres!$B$27,LEN(Parametres!$B$28))+1,1))</f>
        <v/>
      </c>
    </row>
    <row r="6" ht="30" customHeight="1">
      <c r="A6" s="41" t="inlineStr">
        <is>
          <t>Moi</t>
        </is>
      </c>
      <c r="B6" s="42" t="n"/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</row>
    <row r="8">
      <c r="A8" s="12" t="inlineStr">
        <is>
          <t>Lignes grises = repos du cycle. Tape ou choisis ton code sur la ligne « Moi » (CA, CA HP, RTC, CET, CF, HS, RPS, ASA).</t>
        </is>
      </c>
    </row>
    <row r="9">
      <c r="A9" s="12" t="inlineStr">
        <is>
          <t>Seuls les codes posés sur un jour travaillé sont déduits du Tableau.</t>
        </is>
      </c>
    </row>
  </sheetData>
  <mergeCells count="1">
    <mergeCell ref="A1:AF1"/>
  </mergeCells>
  <conditionalFormatting sqref="B6:AF6">
    <cfRule type="expression" priority="1" dxfId="0">
      <formula>OR(B$6="CA",B$6="CA HP",B$6="CET",B$6="RPS")</formula>
    </cfRule>
    <cfRule type="expression" priority="2" dxfId="1">
      <formula>OR(B$6="RTC",B$6="CF",B$6="HS",B$6="ASA")</formula>
    </cfRule>
  </conditionalFormatting>
  <conditionalFormatting sqref="B5:AF6">
    <cfRule type="expression" priority="3" dxfId="2">
      <formula>B$5="R"</formula>
    </cfRule>
  </conditionalFormatting>
  <dataValidations count="1">
    <dataValidation sqref="B6:AF6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2026-10-04T17:39:37Z</dcterms:created>
  <dcterms:modified xsi:type="dcterms:W3CDTF">2026-10-04T17:39:37Z</dcterms:modified>
</cp:coreProperties>
</file>