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" sheetId="1" state="visible" r:id="rId1"/>
    <sheet name="Calcul" sheetId="2" state="visible" r:id="rId2"/>
    <sheet name="Parametres" sheetId="3" state="visible" r:id="rId3"/>
    <sheet name="Suiv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dd/mm/yyyy"/>
    <numFmt numFmtId="166" formatCode="0.00;[Red]-0.0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</font>
    <font>
      <name val="Arial"/>
      <b val="1"/>
      <color rgb="001F3864"/>
      <sz val="12"/>
    </font>
    <font>
      <name val="Arial"/>
      <i val="1"/>
      <color rgb="00C00000"/>
    </font>
    <font>
      <name val="Arial"/>
      <color theme="1"/>
      <sz val="11"/>
    </font>
    <font>
      <name val="Arial"/>
      <b val="1"/>
      <sz val="12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 wrapText="1"/>
    </xf>
    <xf numFmtId="0" fontId="11" fillId="0" borderId="1" pivotButton="0" quotePrefix="0" xfId="0"/>
    <xf numFmtId="166" fontId="12" fillId="0" borderId="1" applyAlignment="1" pivotButton="0" quotePrefix="0" xfId="0">
      <alignment horizontal="center"/>
    </xf>
    <xf numFmtId="0" fontId="11" fillId="4" borderId="1" pivotButton="0" quotePrefix="0" xfId="0"/>
    <xf numFmtId="166" fontId="11" fillId="4" borderId="1" applyAlignment="1" pivotButton="0" quotePrefix="0" xfId="0">
      <alignment horizontal="center"/>
    </xf>
    <xf numFmtId="0" fontId="6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166" fontId="4" fillId="0" borderId="1" pivotButton="0" quotePrefix="0" xfId="0"/>
    <xf numFmtId="166" fontId="4" fillId="4" borderId="1" pivotButton="0" quotePrefix="0" xfId="0"/>
    <xf numFmtId="0" fontId="7" fillId="4" borderId="1" pivotButton="0" quotePrefix="0" xfId="0"/>
    <xf numFmtId="166" fontId="7" fillId="4" borderId="1" pivotButton="0" quotePrefix="0" xfId="0"/>
    <xf numFmtId="0" fontId="8" fillId="0" borderId="0" pivotButton="0" quotePrefix="0" xfId="0"/>
    <xf numFmtId="2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0" fontId="9" fillId="0" borderId="0" pivotButton="0" quotePrefix="0" xfId="0"/>
    <xf numFmtId="1" fontId="5" fillId="3" borderId="1" pivotButton="0" quotePrefix="0" xfId="0"/>
    <xf numFmtId="0" fontId="6" fillId="0" borderId="0" applyAlignment="1" pivotButton="0" quotePrefix="0" xfId="0">
      <alignment wrapText="1"/>
    </xf>
    <xf numFmtId="2" fontId="5" fillId="3" borderId="1" pivotButton="0" quotePrefix="0" xfId="0"/>
    <xf numFmtId="9" fontId="5" fillId="3" borderId="1" pivotButton="0" quotePrefix="0" xfId="0"/>
    <xf numFmtId="49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 xml:space="preserve">Mes congés </t>
        </is>
      </c>
      <c r="B1" s="2">
        <f>Parametres!B5</f>
        <v/>
      </c>
    </row>
    <row r="3">
      <c r="A3" s="3" t="inlineStr">
        <is>
          <t>Intitulé</t>
        </is>
      </c>
      <c r="B3" s="3" t="inlineStr">
        <is>
          <t>Actuel</t>
        </is>
      </c>
      <c r="C3" s="3" t="inlineStr">
        <is>
          <t>Pris</t>
        </is>
      </c>
      <c r="D3" s="3" t="inlineStr">
        <is>
          <t>Restant</t>
        </is>
      </c>
    </row>
    <row r="4">
      <c r="A4" s="4" t="inlineStr">
        <is>
          <t>CA</t>
        </is>
      </c>
      <c r="B4" s="5">
        <f>Calcul!B5</f>
        <v/>
      </c>
      <c r="C4" s="5">
        <f>Calcul!C5</f>
        <v/>
      </c>
      <c r="D4" s="5">
        <f>Calcul!D5</f>
        <v/>
      </c>
    </row>
    <row r="5">
      <c r="A5" s="4" t="inlineStr">
        <is>
          <t>CA HP</t>
        </is>
      </c>
      <c r="B5" s="5">
        <f>Calcul!B6</f>
        <v/>
      </c>
      <c r="C5" s="5">
        <f>Calcul!C6</f>
        <v/>
      </c>
      <c r="D5" s="5">
        <f>Calcul!D6</f>
        <v/>
      </c>
    </row>
    <row r="6">
      <c r="A6" s="4" t="inlineStr">
        <is>
          <t>RTC</t>
        </is>
      </c>
      <c r="B6" s="5">
        <f>Calcul!B7</f>
        <v/>
      </c>
      <c r="C6" s="5">
        <f>Calcul!C7</f>
        <v/>
      </c>
      <c r="D6" s="5">
        <f>Calcul!D7</f>
        <v/>
      </c>
    </row>
    <row r="7">
      <c r="A7" s="4" t="inlineStr">
        <is>
          <t>CET</t>
        </is>
      </c>
      <c r="B7" s="5">
        <f>Calcul!B8</f>
        <v/>
      </c>
      <c r="C7" s="5">
        <f>Calcul!C8</f>
        <v/>
      </c>
      <c r="D7" s="5">
        <f>Calcul!D8</f>
        <v/>
      </c>
    </row>
    <row r="8">
      <c r="A8" s="4" t="inlineStr">
        <is>
          <t>CF</t>
        </is>
      </c>
      <c r="B8" s="5">
        <f>Calcul!B9</f>
        <v/>
      </c>
      <c r="C8" s="5">
        <f>Calcul!C9</f>
        <v/>
      </c>
      <c r="D8" s="5">
        <f>Calcul!D9</f>
        <v/>
      </c>
    </row>
    <row r="9">
      <c r="A9" s="4" t="inlineStr">
        <is>
          <t>HS</t>
        </is>
      </c>
      <c r="B9" s="5">
        <f>Calcul!B10</f>
        <v/>
      </c>
      <c r="C9" s="5">
        <f>Calcul!C10</f>
        <v/>
      </c>
      <c r="D9" s="5">
        <f>Calcul!D10</f>
        <v/>
      </c>
    </row>
    <row r="10">
      <c r="A10" s="4" t="inlineStr">
        <is>
          <t>RPS</t>
        </is>
      </c>
      <c r="B10" s="5">
        <f>Calcul!B11</f>
        <v/>
      </c>
      <c r="C10" s="5">
        <f>Calcul!C11</f>
        <v/>
      </c>
      <c r="D10" s="5">
        <f>Calcul!D11</f>
        <v/>
      </c>
    </row>
    <row r="11">
      <c r="A11" s="6" t="inlineStr">
        <is>
          <t>TOTAL</t>
        </is>
      </c>
      <c r="B11" s="7">
        <f>SUM(B4:B10)</f>
        <v/>
      </c>
      <c r="C11" s="7">
        <f>SUM(C4:C10)</f>
        <v/>
      </c>
      <c r="D11" s="7">
        <f>SUM(D4:D10)</f>
        <v/>
      </c>
    </row>
    <row r="13">
      <c r="A13" s="8" t="inlineStr">
        <is>
          <t>Valeurs en heures.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Mes droits à congés – récapitulatif</t>
        </is>
      </c>
      <c r="B1" s="9" t="n"/>
      <c r="C1" s="9" t="n"/>
      <c r="D1" s="9" t="n"/>
      <c r="E1" s="9" t="n"/>
      <c r="F1" s="9" t="n"/>
    </row>
    <row r="2">
      <c r="A2" s="10" t="inlineStr">
        <is>
          <t>Tout se calcule depuis Parametres et Suivi. Ne rien saisir ici.</t>
        </is>
      </c>
      <c r="B2" s="9" t="n"/>
      <c r="C2" s="9" t="n"/>
      <c r="D2" s="9" t="n"/>
      <c r="E2" s="9" t="n"/>
      <c r="F2" s="9" t="n"/>
    </row>
    <row r="3">
      <c r="A3" s="9" t="n"/>
      <c r="B3" s="9" t="n"/>
      <c r="C3" s="9" t="n"/>
      <c r="D3" s="9" t="n"/>
      <c r="E3" s="9" t="n"/>
      <c r="F3" s="9" t="n"/>
    </row>
    <row r="4">
      <c r="A4" s="3" t="inlineStr">
        <is>
          <t>Type</t>
        </is>
      </c>
      <c r="B4" s="3" t="inlineStr">
        <is>
          <t>De base (h)</t>
        </is>
      </c>
      <c r="C4" s="3" t="inlineStr">
        <is>
          <t>Pris (h)</t>
        </is>
      </c>
      <c r="D4" s="3" t="inlineStr">
        <is>
          <t>Reste (h)</t>
        </is>
      </c>
      <c r="E4" s="3" t="inlineStr">
        <is>
          <t>Reste (vacations)</t>
        </is>
      </c>
      <c r="F4" s="3" t="inlineStr">
        <is>
          <t>Explication</t>
        </is>
      </c>
    </row>
    <row r="5">
      <c r="A5" s="11" t="inlineStr">
        <is>
          <t>CA – Congés annuels</t>
        </is>
      </c>
      <c r="B5" s="12">
        <f>Parametres!$B$9*Parametres!$B$10*Parametres!$B$8</f>
        <v/>
      </c>
      <c r="C5" s="12">
        <f>SUMIF(Suivi!$C$5:$C$204,"CA",Suivi!$E$5:$E$204)</f>
        <v/>
      </c>
      <c r="D5" s="13">
        <f>B5-C5</f>
        <v/>
      </c>
      <c r="E5" s="12">
        <f>D5/Parametres!$B$6</f>
        <v/>
      </c>
      <c r="F5" s="11" t="inlineStr">
        <is>
          <t>25 j ouvrés × valeur horaire × quotité.</t>
        </is>
      </c>
    </row>
    <row r="6">
      <c r="A6" s="11" t="inlineStr">
        <is>
          <t>CA HP – Hors période</t>
        </is>
      </c>
      <c r="B6" s="12">
        <f>IF(Parametres!$B$11&gt;=8,2,IF(Parametres!$B$11&gt;=5,1,0))*Parametres!$B$10</f>
        <v/>
      </c>
      <c r="C6" s="12">
        <f>SUMIF(Suivi!$C$5:$C$204,"CA HP",Suivi!$E$5:$E$204)</f>
        <v/>
      </c>
      <c r="D6" s="13">
        <f>B6-C6</f>
        <v/>
      </c>
      <c r="E6" s="12">
        <f>D6/Parametres!$B$6</f>
        <v/>
      </c>
      <c r="F6" s="11" t="inlineStr">
        <is>
          <t>Bonus : 1 j si 5-7 j CA hors mai-oct ; 2 j si 8 et +.</t>
        </is>
      </c>
    </row>
    <row r="7">
      <c r="A7" s="11" t="inlineStr">
        <is>
          <t>RTC</t>
        </is>
      </c>
      <c r="B7" s="12">
        <f>Parametres!$B$12</f>
        <v/>
      </c>
      <c r="C7" s="12">
        <f>SUMIF(Suivi!$C$5:$C$204,"RTC",Suivi!$E$5:$E$204)</f>
        <v/>
      </c>
      <c r="D7" s="13">
        <f>B7-C7</f>
        <v/>
      </c>
      <c r="E7" s="12">
        <f>D7/Parametres!$B$6</f>
        <v/>
      </c>
      <c r="F7" s="11" t="inlineStr">
        <is>
          <t>Crédit saisi dans Parametres.</t>
        </is>
      </c>
    </row>
    <row r="8">
      <c r="A8" s="11" t="inlineStr">
        <is>
          <t>CET – Compte épargne-temps</t>
        </is>
      </c>
      <c r="B8" s="12">
        <f>(Parametres!$B$18+Parametres!$B$19)*Parametres!$B$10</f>
        <v/>
      </c>
      <c r="C8" s="12">
        <f>SUMIF(Suivi!$C$5:$C$204,"CET",Suivi!$E$5:$E$204)</f>
        <v/>
      </c>
      <c r="D8" s="13">
        <f>B8-C8</f>
        <v/>
      </c>
      <c r="E8" s="12">
        <f>D8/Parametres!$B$6</f>
        <v/>
      </c>
      <c r="F8" s="11" t="inlineStr">
        <is>
          <t>Solde 1er janvier + jours versés.</t>
        </is>
      </c>
    </row>
    <row r="9">
      <c r="A9" s="11" t="inlineStr">
        <is>
          <t>CF – Crédit férié</t>
        </is>
      </c>
      <c r="B9" s="12">
        <f>Parametres!$B$13*Parametres!$B$14</f>
        <v/>
      </c>
      <c r="C9" s="12">
        <f>SUMIF(Suivi!$C$5:$C$204,"CF",Suivi!$E$5:$E$204)</f>
        <v/>
      </c>
      <c r="D9" s="13">
        <f>B9-C9</f>
        <v/>
      </c>
      <c r="E9" s="12">
        <f>D9/Parametres!$B$6</f>
        <v/>
      </c>
      <c r="F9" s="11" t="inlineStr">
        <is>
          <t>Nb fériés × heures par férié.</t>
        </is>
      </c>
    </row>
    <row r="10">
      <c r="A10" s="11" t="inlineStr">
        <is>
          <t>HS – Heures supplémentaires</t>
        </is>
      </c>
      <c r="B10" s="12">
        <f>Parametres!$B$15</f>
        <v/>
      </c>
      <c r="C10" s="12">
        <f>SUMIF(Suivi!$C$5:$C$204,"HS",Suivi!$E$5:$E$204)</f>
        <v/>
      </c>
      <c r="D10" s="13">
        <f>B10-C10</f>
        <v/>
      </c>
      <c r="E10" s="12">
        <f>D10/Parametres!$B$6</f>
        <v/>
      </c>
      <c r="F10" s="11" t="inlineStr">
        <is>
          <t>Compteur HS récupérables.</t>
        </is>
      </c>
    </row>
    <row r="11">
      <c r="A11" s="11" t="inlineStr">
        <is>
          <t>RPS – Repos pénibilité nuit</t>
        </is>
      </c>
      <c r="B11" s="12">
        <f>IF(Parametres!$B$17&gt;0,Parametres!$B$17,ROUND(140*Parametres!$B$8,0))*Parametres!$B$7*Parametres!$B$16</f>
        <v/>
      </c>
      <c r="C11" s="12">
        <f>SUMIF(Suivi!$C$5:$C$204,"RPS",Suivi!$E$5:$E$204)</f>
        <v/>
      </c>
      <c r="D11" s="13">
        <f>B11-C11</f>
        <v/>
      </c>
      <c r="E11" s="12">
        <f>D11/Parametres!$B$6</f>
        <v/>
      </c>
      <c r="F11" s="11" t="inlineStr">
        <is>
          <t>Vacations nuit × heures nuit × coef.</t>
        </is>
      </c>
    </row>
    <row r="12">
      <c r="A12" s="14" t="inlineStr">
        <is>
          <t>TOTAL</t>
        </is>
      </c>
      <c r="B12" s="15">
        <f>SUM(B5:B11)</f>
        <v/>
      </c>
      <c r="C12" s="15">
        <f>SUM(C5:C11)</f>
        <v/>
      </c>
      <c r="D12" s="15">
        <f>SUM(D5:D11)</f>
        <v/>
      </c>
      <c r="E12" s="15">
        <f>SUM(E5:E11)</f>
        <v/>
      </c>
      <c r="F12" s="14" t="n"/>
    </row>
    <row r="13">
      <c r="A13" s="9" t="n"/>
      <c r="B13" s="9" t="n"/>
      <c r="C13" s="9" t="n"/>
      <c r="D13" s="9" t="n"/>
      <c r="E13" s="9" t="n"/>
      <c r="F13" s="9" t="n"/>
    </row>
    <row r="14">
      <c r="A14" s="16" t="inlineStr">
        <is>
          <t>CET – détail</t>
        </is>
      </c>
      <c r="B14" s="9" t="n"/>
      <c r="C14" s="9" t="n"/>
      <c r="D14" s="9" t="n"/>
      <c r="E14" s="9" t="n"/>
      <c r="F14" s="9" t="n"/>
    </row>
    <row r="15">
      <c r="A15" s="3" t="inlineStr">
        <is>
          <t>Élément</t>
        </is>
      </c>
      <c r="B15" s="3" t="inlineStr">
        <is>
          <t>Valeur</t>
        </is>
      </c>
      <c r="C15" s="3" t="inlineStr"/>
      <c r="D15" s="3" t="inlineStr"/>
      <c r="E15" s="3" t="inlineStr"/>
      <c r="F15" s="3" t="inlineStr">
        <is>
          <t>Règle</t>
        </is>
      </c>
    </row>
    <row r="16">
      <c r="A16" s="11" t="inlineStr">
        <is>
          <t>Jours CA pris dans l'année</t>
        </is>
      </c>
      <c r="B16" s="17">
        <f>C5/Parametres!$B$10</f>
        <v/>
      </c>
      <c r="C16" s="9" t="n"/>
      <c r="D16" s="9" t="n"/>
      <c r="E16" s="9" t="n"/>
      <c r="F16" s="9" t="inlineStr">
        <is>
          <t>Depuis Suivi.</t>
        </is>
      </c>
    </row>
    <row r="17">
      <c r="A17" s="11" t="inlineStr">
        <is>
          <t>Jours épargnables max</t>
        </is>
      </c>
      <c r="B17" s="17">
        <f>MAX(0,MIN((B5+B6-C5-C6)/Parametres!$B$10,(B5+B6)/Parametres!$B$10-20))</f>
        <v/>
      </c>
      <c r="C17" s="9" t="n"/>
      <c r="D17" s="9" t="n"/>
      <c r="E17" s="9" t="n"/>
      <c r="F17" s="9" t="inlineStr">
        <is>
          <t>20 j de CA obligatoires. Le reliquat est épargnable.</t>
        </is>
      </c>
    </row>
    <row r="18">
      <c r="A18" s="11" t="inlineStr">
        <is>
          <t>Solde CET restant (jours)</t>
        </is>
      </c>
      <c r="B18" s="17">
        <f>D8/Parametres!$B$10</f>
        <v/>
      </c>
      <c r="C18" s="9" t="n"/>
      <c r="D18" s="9" t="n"/>
      <c r="E18" s="9" t="n"/>
      <c r="F18" s="9" t="inlineStr">
        <is>
          <t>Plafond 60 jours.</t>
        </is>
      </c>
    </row>
    <row r="19">
      <c r="A19" s="11" t="inlineStr">
        <is>
          <t>Alerte plafond</t>
        </is>
      </c>
      <c r="B19" s="17">
        <f>IF(B18&gt;60,"Plafond 60 j dépassé","OK")</f>
        <v/>
      </c>
      <c r="C19" s="9" t="n"/>
      <c r="D19" s="9" t="n"/>
      <c r="E19" s="9" t="n"/>
      <c r="F19" s="9" t="inlineStr"/>
    </row>
    <row r="20">
      <c r="A20" s="11" t="inlineStr">
        <is>
          <t>Jours indemnisables (au-delà de 15)</t>
        </is>
      </c>
      <c r="B20" s="17">
        <f>MAX(0,MIN(B18,60)-15)</f>
        <v/>
      </c>
      <c r="C20" s="9" t="n"/>
      <c r="D20" s="9" t="n"/>
      <c r="E20" s="9" t="n"/>
      <c r="F20" s="9" t="inlineStr">
        <is>
          <t>Option possible au-delà de 15 j.</t>
        </is>
      </c>
    </row>
    <row r="21">
      <c r="A21" s="11" t="inlineStr">
        <is>
          <t>Valeur si indemnisés (€)</t>
        </is>
      </c>
      <c r="B21" s="18">
        <f>B20*IF(Parametres!$B$20="A",Parametres!$B$23,IF(Parametres!$B$20="B",Parametres!$B$22,Parametres!$B$21))</f>
        <v/>
      </c>
      <c r="C21" s="9" t="n"/>
      <c r="D21" s="9" t="n"/>
      <c r="E21" s="9" t="n"/>
      <c r="F21" s="9" t="inlineStr">
        <is>
          <t>Montant brut selon catégorie.</t>
        </is>
      </c>
    </row>
    <row r="22">
      <c r="A22" s="9" t="n"/>
      <c r="B22" s="9" t="n"/>
      <c r="C22" s="9" t="n"/>
      <c r="D22" s="9" t="n"/>
      <c r="E22" s="9" t="n"/>
      <c r="F22" s="9" t="n"/>
    </row>
    <row r="23">
      <c r="A23" s="16" t="inlineStr">
        <is>
          <t>ASA – Autorisations spéciales d'absence (hors compteur)</t>
        </is>
      </c>
      <c r="B23" s="9" t="n"/>
      <c r="C23" s="9" t="n"/>
      <c r="D23" s="9" t="n"/>
      <c r="E23" s="9" t="n"/>
      <c r="F23" s="9" t="n"/>
    </row>
    <row r="24">
      <c r="A24" s="3" t="inlineStr">
        <is>
          <t>Motif</t>
        </is>
      </c>
      <c r="B24" s="3" t="inlineStr">
        <is>
          <t>Jours</t>
        </is>
      </c>
      <c r="C24" s="3" t="inlineStr"/>
      <c r="D24" s="3" t="inlineStr"/>
      <c r="E24" s="3" t="inlineStr"/>
      <c r="F24" s="3" t="inlineStr">
        <is>
          <t>Règle</t>
        </is>
      </c>
    </row>
    <row r="25">
      <c r="A25" s="11" t="inlineStr">
        <is>
          <t>Garde d'enfant malade</t>
        </is>
      </c>
      <c r="B25" s="19">
        <f>IF(Parametres!$B$24="O",IF(Parametres!$B$25="O",12,6)*Parametres!$B$8,0)</f>
        <v/>
      </c>
      <c r="C25" s="9" t="n"/>
      <c r="D25" s="9" t="n"/>
      <c r="E25" s="9" t="n"/>
      <c r="F25" s="9" t="inlineStr">
        <is>
          <t>6 j/an ; 12 j si seul ou conjoint sans droit. À vérifier.</t>
        </is>
      </c>
    </row>
    <row r="26">
      <c r="A26" s="11" t="inlineStr">
        <is>
          <t>Mariage / PACS de l'agent</t>
        </is>
      </c>
      <c r="B26" s="19" t="n">
        <v>5</v>
      </c>
      <c r="C26" s="9" t="n"/>
      <c r="D26" s="9" t="n"/>
      <c r="E26" s="9" t="n"/>
      <c r="F26" s="9" t="inlineStr">
        <is>
          <t>Barème FP. À vérifier.</t>
        </is>
      </c>
    </row>
    <row r="27">
      <c r="A27" s="11" t="inlineStr">
        <is>
          <t>Décès conjoint / parent / enfant</t>
        </is>
      </c>
      <c r="B27" s="19" t="n">
        <v>3</v>
      </c>
      <c r="C27" s="9" t="n"/>
      <c r="D27" s="9" t="n"/>
      <c r="E27" s="9" t="n"/>
      <c r="F27" s="9" t="inlineStr">
        <is>
          <t>Barème FP. Enfant : régime renforcé.</t>
        </is>
      </c>
    </row>
    <row r="28">
      <c r="A28" s="11" t="inlineStr">
        <is>
          <t>Naissance / adoption</t>
        </is>
      </c>
      <c r="B28" s="19" t="inlineStr">
        <is>
          <t>Voir RH</t>
        </is>
      </c>
      <c r="C28" s="9" t="n"/>
      <c r="D28" s="9" t="n"/>
      <c r="E28" s="9" t="n"/>
      <c r="F28" s="9" t="inlineStr">
        <is>
          <t>Congé naissance 3 j + paternité 25 j.</t>
        </is>
      </c>
    </row>
    <row r="29">
      <c r="A29" s="11" t="inlineStr">
        <is>
          <t>Déménagement</t>
        </is>
      </c>
      <c r="B29" s="19" t="inlineStr">
        <is>
          <t>Voir RH</t>
        </is>
      </c>
      <c r="C29" s="9" t="n"/>
      <c r="D29" s="9" t="n"/>
      <c r="E29" s="9" t="n"/>
      <c r="F29" s="9" t="inlineStr">
        <is>
          <t>Selon note de service.</t>
        </is>
      </c>
    </row>
    <row r="30">
      <c r="A30" s="9" t="n"/>
      <c r="B30" s="9" t="n"/>
      <c r="C30" s="9" t="n"/>
      <c r="D30" s="9" t="n"/>
      <c r="E30" s="9" t="n"/>
      <c r="F30" s="9" t="n"/>
    </row>
    <row r="31">
      <c r="A31" s="20" t="inlineStr">
        <is>
          <t>Les montants et barèmes sont indicatifs. Vérifie avec ton secrétariat / Géopol et ta note de service locale.</t>
        </is>
      </c>
      <c r="B31" s="9" t="n"/>
      <c r="C31" s="9" t="n"/>
      <c r="D31" s="9" t="n"/>
      <c r="E31" s="9" t="n"/>
      <c r="F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>
      <c r="A1" s="1" t="inlineStr">
        <is>
          <t>Paramètres – Police nationale, cycle 12h08 de nuit</t>
        </is>
      </c>
      <c r="B1" s="9" t="n"/>
      <c r="C1" s="9" t="n"/>
    </row>
    <row r="2">
      <c r="A2" s="10" t="inlineStr">
        <is>
          <t>Cellules jaunes / texte bleu = à saisir. Le reste se calcule seul.</t>
        </is>
      </c>
      <c r="B2" s="9" t="n"/>
      <c r="C2" s="9" t="n"/>
    </row>
    <row r="3">
      <c r="A3" s="9" t="n"/>
      <c r="B3" s="9" t="n"/>
      <c r="C3" s="9" t="n"/>
    </row>
    <row r="4">
      <c r="A4" s="3" t="inlineStr">
        <is>
          <t>Paramètre</t>
        </is>
      </c>
      <c r="B4" s="3" t="inlineStr">
        <is>
          <t>Valeur</t>
        </is>
      </c>
      <c r="C4" s="3" t="inlineStr">
        <is>
          <t>Explication / source</t>
        </is>
      </c>
    </row>
    <row r="5">
      <c r="A5" s="11" t="inlineStr">
        <is>
          <t>Année de référence</t>
        </is>
      </c>
      <c r="B5" s="21" t="n">
        <v>2026</v>
      </c>
      <c r="C5" s="22" t="inlineStr">
        <is>
          <t>Année civile des droits.</t>
        </is>
      </c>
    </row>
    <row r="6">
      <c r="A6" s="11" t="inlineStr">
        <is>
          <t>Durée d'une vacation (heures)</t>
        </is>
      </c>
      <c r="B6" s="17">
        <f>12+8/60</f>
        <v/>
      </c>
      <c r="C6" s="22" t="inlineStr">
        <is>
          <t>12h08 = 12,13 h, dont 2 pauses de 20 min (rapport Sénat).</t>
        </is>
      </c>
    </row>
    <row r="7">
      <c r="A7" s="11" t="inlineStr">
        <is>
          <t>Heures de nuit par vacation</t>
        </is>
      </c>
      <c r="B7" s="23" t="n">
        <v>9</v>
      </c>
      <c r="C7" s="22" t="inlineStr">
        <is>
          <t>Heures entre 21h et 6h (RGEMPN). 9h si vacation couvre toute la plage.</t>
        </is>
      </c>
    </row>
    <row r="8">
      <c r="A8" s="11" t="inlineStr">
        <is>
          <t>Quotité de travail</t>
        </is>
      </c>
      <c r="B8" s="24" t="n">
        <v>1</v>
      </c>
      <c r="C8" s="22" t="inlineStr">
        <is>
          <t>100 % = temps plein.</t>
        </is>
      </c>
    </row>
    <row r="9">
      <c r="A9" s="11" t="inlineStr">
        <is>
          <t>CA – jours ouvrés réglementaires</t>
        </is>
      </c>
      <c r="B9" s="21" t="n">
        <v>25</v>
      </c>
      <c r="C9" s="22" t="inlineStr">
        <is>
          <t>Décret 84-972 : 25 jours ouvrés.</t>
        </is>
      </c>
    </row>
    <row r="10">
      <c r="A10" s="11" t="inlineStr">
        <is>
          <t>Valeur horaire d'1 jour de CA (h)</t>
        </is>
      </c>
      <c r="B10" s="23" t="n">
        <v>7</v>
      </c>
      <c r="C10" s="22" t="inlineStr">
        <is>
          <t>À vérifier avec ton secrétariat / Géopol.</t>
        </is>
      </c>
    </row>
    <row r="11">
      <c r="A11" s="11" t="inlineStr">
        <is>
          <t>CA HP – jours CA pris hors 1/05–31/10</t>
        </is>
      </c>
      <c r="B11" s="21" t="n">
        <v>0</v>
      </c>
      <c r="C11" s="22" t="inlineStr">
        <is>
          <t>5 à 7 j = 1 j bonus ; 8 j et + = 2 j bonus.</t>
        </is>
      </c>
    </row>
    <row r="12">
      <c r="A12" s="11" t="inlineStr">
        <is>
          <t>RTC – crédit annuel (heures)</t>
        </is>
      </c>
      <c r="B12" s="23" t="n">
        <v>0</v>
      </c>
      <c r="C12" s="22" t="inlineStr">
        <is>
          <t>Crédit annuel horaire d'ARTT en régime cyclique (RGEMPN art. 39). Voir Géopol.</t>
        </is>
      </c>
    </row>
    <row r="13">
      <c r="A13" s="11" t="inlineStr">
        <is>
          <t>CF – nombre de fériés crédités</t>
        </is>
      </c>
      <c r="B13" s="21" t="n">
        <v>0</v>
      </c>
      <c r="C13" s="22" t="inlineStr">
        <is>
          <t>Crédit férié annuel, en heures, pour régime cyclique. Voir Géopol.</t>
        </is>
      </c>
    </row>
    <row r="14">
      <c r="A14" s="11" t="inlineStr">
        <is>
          <t>CF – heures par férié</t>
        </is>
      </c>
      <c r="B14" s="17">
        <f>B6</f>
        <v/>
      </c>
      <c r="C14" s="22" t="inlineStr">
        <is>
          <t>Par défaut = 1 vacation. Modifiable.</t>
        </is>
      </c>
    </row>
    <row r="15">
      <c r="A15" s="11" t="inlineStr">
        <is>
          <t>HS – heures sup. au compteur (heures)</t>
        </is>
      </c>
      <c r="B15" s="23" t="n">
        <v>0</v>
      </c>
      <c r="C15" s="22" t="inlineStr">
        <is>
          <t>Solde HS récupérables. Voir relevé.</t>
        </is>
      </c>
    </row>
    <row r="16">
      <c r="A16" s="11" t="inlineStr">
        <is>
          <t>RPS – coef. sur heures de nuit</t>
        </is>
      </c>
      <c r="B16" s="24" t="n">
        <v>0.1</v>
      </c>
      <c r="C16" s="22" t="inlineStr">
        <is>
          <t>0,1 par heure de nuit 21h-6h (0,4 dimanche, non cumulable). Source : RGEMPN.</t>
        </is>
      </c>
    </row>
    <row r="17">
      <c r="A17" s="11" t="inlineStr">
        <is>
          <t>RPS – vacations de nuit / an</t>
        </is>
      </c>
      <c r="B17" s="21" t="n">
        <v>0</v>
      </c>
      <c r="C17" s="22" t="inlineStr">
        <is>
          <t>0 = 140 vacations/an (cycle binaire, rapport Sénat).</t>
        </is>
      </c>
    </row>
    <row r="18">
      <c r="A18" s="11" t="inlineStr">
        <is>
          <t>CET – solde au 1er janvier (jours)</t>
        </is>
      </c>
      <c r="B18" s="23" t="n">
        <v>0</v>
      </c>
      <c r="C18" s="22" t="inlineStr">
        <is>
          <t>Repris de ton relevé CET.</t>
        </is>
      </c>
    </row>
    <row r="19">
      <c r="A19" s="11" t="inlineStr">
        <is>
          <t>CET – jours versés cette année</t>
        </is>
      </c>
      <c r="B19" s="23" t="n">
        <v>0</v>
      </c>
      <c r="C19" s="22" t="inlineStr">
        <is>
          <t>Ta demande d'alimentation.</t>
        </is>
      </c>
    </row>
    <row r="20">
      <c r="A20" s="11" t="inlineStr">
        <is>
          <t>Catégorie (C, B, A)</t>
        </is>
      </c>
      <c r="B20" s="25" t="inlineStr">
        <is>
          <t>B</t>
        </is>
      </c>
      <c r="C20" s="22" t="inlineStr">
        <is>
          <t>Pour l'indemnisation CET.</t>
        </is>
      </c>
    </row>
    <row r="21">
      <c r="A21" s="11" t="inlineStr">
        <is>
          <t>Taux CET catégorie C (€/jour)</t>
        </is>
      </c>
      <c r="B21" s="26" t="n">
        <v>83</v>
      </c>
      <c r="C21" s="22" t="inlineStr">
        <is>
          <t>À vérifier.</t>
        </is>
      </c>
    </row>
    <row r="22">
      <c r="A22" s="11" t="inlineStr">
        <is>
          <t>Taux CET catégorie B (€/jour)</t>
        </is>
      </c>
      <c r="B22" s="26" t="n">
        <v>100</v>
      </c>
      <c r="C22" s="22" t="inlineStr">
        <is>
          <t>À vérifier.</t>
        </is>
      </c>
    </row>
    <row r="23">
      <c r="A23" s="11" t="inlineStr">
        <is>
          <t>Taux CET catégorie A (€/jour)</t>
        </is>
      </c>
      <c r="B23" s="26" t="n">
        <v>150</v>
      </c>
      <c r="C23" s="22" t="inlineStr">
        <is>
          <t>À vérifier.</t>
        </is>
      </c>
    </row>
    <row r="24">
      <c r="A24" s="11" t="inlineStr">
        <is>
          <t>Enfants à charge &lt; 16 ans (O/N)</t>
        </is>
      </c>
      <c r="B24" s="25" t="inlineStr">
        <is>
          <t>O</t>
        </is>
      </c>
      <c r="C24" s="22" t="inlineStr">
        <is>
          <t>Pour ASA garde d'enfant.</t>
        </is>
      </c>
    </row>
    <row r="25">
      <c r="A25" s="11" t="inlineStr">
        <is>
          <t>Élève seul l'enfant ou conjoint sans droit (O/N)</t>
        </is>
      </c>
      <c r="B25" s="25" t="inlineStr">
        <is>
          <t>N</t>
        </is>
      </c>
      <c r="C25" s="22" t="inlineStr">
        <is>
          <t>Doublement ASA garde d'enfant.</t>
        </is>
      </c>
    </row>
  </sheetData>
  <dataValidations count="2">
    <dataValidation sqref="B20" showDropDown="0" showInputMessage="0" showErrorMessage="0" allowBlank="0" type="list">
      <formula1>"C,B,A"</formula1>
    </dataValidation>
    <dataValidation sqref="B24 B25" showDropDown="0" showInputMessage="0" showErrorMessage="0" allowBlank="0" type="list">
      <formula1>"O,N"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0" customWidth="1" min="5" max="5"/>
    <col width="40" customWidth="1" min="6" max="6"/>
  </cols>
  <sheetData>
    <row r="1">
      <c r="A1" s="1" t="inlineStr">
        <is>
          <t>Journal des absences posées</t>
        </is>
      </c>
      <c r="B1" s="9" t="n"/>
      <c r="C1" s="9" t="n"/>
      <c r="D1" s="9" t="n"/>
      <c r="E1" s="9" t="n"/>
      <c r="F1" s="9" t="n"/>
    </row>
    <row r="2">
      <c r="A2" s="10" t="inlineStr">
        <is>
          <t>Une ligne par absence. Choisis le type dans la liste. Heures calculées seules.</t>
        </is>
      </c>
      <c r="B2" s="9" t="n"/>
      <c r="C2" s="9" t="n"/>
      <c r="D2" s="9" t="n"/>
      <c r="E2" s="9" t="n"/>
      <c r="F2" s="9" t="n"/>
    </row>
    <row r="3">
      <c r="A3" s="9" t="n"/>
      <c r="B3" s="9" t="n"/>
      <c r="C3" s="9" t="n"/>
      <c r="D3" s="9" t="n"/>
      <c r="E3" s="9" t="n"/>
      <c r="F3" s="9" t="n"/>
    </row>
    <row r="4">
      <c r="A4" s="3" t="inlineStr">
        <is>
          <t>Date début</t>
        </is>
      </c>
      <c r="B4" s="3" t="inlineStr">
        <is>
          <t>Date fin</t>
        </is>
      </c>
      <c r="C4" s="3" t="inlineStr">
        <is>
          <t>Type</t>
        </is>
      </c>
      <c r="D4" s="3" t="inlineStr">
        <is>
          <t>Nb vacations</t>
        </is>
      </c>
      <c r="E4" s="3" t="inlineStr">
        <is>
          <t>Heures</t>
        </is>
      </c>
      <c r="F4" s="3" t="inlineStr">
        <is>
          <t>Commentaire</t>
        </is>
      </c>
    </row>
    <row r="5">
      <c r="A5" s="27" t="n">
        <v>46063</v>
      </c>
      <c r="B5" s="27" t="n">
        <v>46066</v>
      </c>
      <c r="C5" s="28" t="inlineStr">
        <is>
          <t>CA</t>
        </is>
      </c>
      <c r="D5" s="28" t="n">
        <v>2</v>
      </c>
      <c r="E5" s="17">
        <f>IF(D5="","",D5*Parametres!$B$6)</f>
        <v/>
      </c>
      <c r="F5" s="28" t="inlineStr">
        <is>
          <t>Exemple – à effacer</t>
        </is>
      </c>
    </row>
    <row r="6">
      <c r="A6" s="27" t="n"/>
      <c r="B6" s="27" t="n"/>
      <c r="C6" s="28" t="n"/>
      <c r="D6" s="28" t="n"/>
      <c r="E6" s="17">
        <f>IF(D6="","",D6*Parametres!$B$6)</f>
        <v/>
      </c>
      <c r="F6" s="28" t="n"/>
    </row>
    <row r="7">
      <c r="A7" s="27" t="n"/>
      <c r="B7" s="27" t="n"/>
      <c r="C7" s="28" t="n"/>
      <c r="D7" s="28" t="n"/>
      <c r="E7" s="17">
        <f>IF(D7="","",D7*Parametres!$B$6)</f>
        <v/>
      </c>
      <c r="F7" s="28" t="n"/>
    </row>
    <row r="8">
      <c r="A8" s="27" t="n"/>
      <c r="B8" s="27" t="n"/>
      <c r="C8" s="28" t="n"/>
      <c r="D8" s="28" t="n"/>
      <c r="E8" s="17">
        <f>IF(D8="","",D8*Parametres!$B$6)</f>
        <v/>
      </c>
      <c r="F8" s="28" t="n"/>
    </row>
    <row r="9">
      <c r="A9" s="27" t="n"/>
      <c r="B9" s="27" t="n"/>
      <c r="C9" s="28" t="n"/>
      <c r="D9" s="28" t="n"/>
      <c r="E9" s="17">
        <f>IF(D9="","",D9*Parametres!$B$6)</f>
        <v/>
      </c>
      <c r="F9" s="28" t="n"/>
    </row>
    <row r="10">
      <c r="A10" s="27" t="n"/>
      <c r="B10" s="27" t="n"/>
      <c r="C10" s="28" t="n"/>
      <c r="D10" s="28" t="n"/>
      <c r="E10" s="17">
        <f>IF(D10="","",D10*Parametres!$B$6)</f>
        <v/>
      </c>
      <c r="F10" s="28" t="n"/>
    </row>
    <row r="11">
      <c r="A11" s="27" t="n"/>
      <c r="B11" s="27" t="n"/>
      <c r="C11" s="28" t="n"/>
      <c r="D11" s="28" t="n"/>
      <c r="E11" s="17">
        <f>IF(D11="","",D11*Parametres!$B$6)</f>
        <v/>
      </c>
      <c r="F11" s="28" t="n"/>
    </row>
    <row r="12">
      <c r="A12" s="27" t="n"/>
      <c r="B12" s="27" t="n"/>
      <c r="C12" s="28" t="n"/>
      <c r="D12" s="28" t="n"/>
      <c r="E12" s="17">
        <f>IF(D12="","",D12*Parametres!$B$6)</f>
        <v/>
      </c>
      <c r="F12" s="28" t="n"/>
    </row>
    <row r="13">
      <c r="A13" s="27" t="n"/>
      <c r="B13" s="27" t="n"/>
      <c r="C13" s="28" t="n"/>
      <c r="D13" s="28" t="n"/>
      <c r="E13" s="17">
        <f>IF(D13="","",D13*Parametres!$B$6)</f>
        <v/>
      </c>
      <c r="F13" s="28" t="n"/>
    </row>
    <row r="14">
      <c r="A14" s="27" t="n"/>
      <c r="B14" s="27" t="n"/>
      <c r="C14" s="28" t="n"/>
      <c r="D14" s="28" t="n"/>
      <c r="E14" s="17">
        <f>IF(D14="","",D14*Parametres!$B$6)</f>
        <v/>
      </c>
      <c r="F14" s="28" t="n"/>
    </row>
    <row r="15">
      <c r="A15" s="27" t="n"/>
      <c r="B15" s="27" t="n"/>
      <c r="C15" s="28" t="n"/>
      <c r="D15" s="28" t="n"/>
      <c r="E15" s="17">
        <f>IF(D15="","",D15*Parametres!$B$6)</f>
        <v/>
      </c>
      <c r="F15" s="28" t="n"/>
    </row>
    <row r="16">
      <c r="A16" s="27" t="n"/>
      <c r="B16" s="27" t="n"/>
      <c r="C16" s="28" t="n"/>
      <c r="D16" s="28" t="n"/>
      <c r="E16" s="17">
        <f>IF(D16="","",D16*Parametres!$B$6)</f>
        <v/>
      </c>
      <c r="F16" s="28" t="n"/>
    </row>
    <row r="17">
      <c r="A17" s="27" t="n"/>
      <c r="B17" s="27" t="n"/>
      <c r="C17" s="28" t="n"/>
      <c r="D17" s="28" t="n"/>
      <c r="E17" s="17">
        <f>IF(D17="","",D17*Parametres!$B$6)</f>
        <v/>
      </c>
      <c r="F17" s="28" t="n"/>
    </row>
    <row r="18">
      <c r="A18" s="27" t="n"/>
      <c r="B18" s="27" t="n"/>
      <c r="C18" s="28" t="n"/>
      <c r="D18" s="28" t="n"/>
      <c r="E18" s="17">
        <f>IF(D18="","",D18*Parametres!$B$6)</f>
        <v/>
      </c>
      <c r="F18" s="28" t="n"/>
    </row>
    <row r="19">
      <c r="A19" s="27" t="n"/>
      <c r="B19" s="27" t="n"/>
      <c r="C19" s="28" t="n"/>
      <c r="D19" s="28" t="n"/>
      <c r="E19" s="17">
        <f>IF(D19="","",D19*Parametres!$B$6)</f>
        <v/>
      </c>
      <c r="F19" s="28" t="n"/>
    </row>
    <row r="20">
      <c r="A20" s="27" t="n"/>
      <c r="B20" s="27" t="n"/>
      <c r="C20" s="28" t="n"/>
      <c r="D20" s="28" t="n"/>
      <c r="E20" s="17">
        <f>IF(D20="","",D20*Parametres!$B$6)</f>
        <v/>
      </c>
      <c r="F20" s="28" t="n"/>
    </row>
    <row r="21">
      <c r="A21" s="27" t="n"/>
      <c r="B21" s="27" t="n"/>
      <c r="C21" s="28" t="n"/>
      <c r="D21" s="28" t="n"/>
      <c r="E21" s="17">
        <f>IF(D21="","",D21*Parametres!$B$6)</f>
        <v/>
      </c>
      <c r="F21" s="28" t="n"/>
    </row>
    <row r="22">
      <c r="A22" s="27" t="n"/>
      <c r="B22" s="27" t="n"/>
      <c r="C22" s="28" t="n"/>
      <c r="D22" s="28" t="n"/>
      <c r="E22" s="17">
        <f>IF(D22="","",D22*Parametres!$B$6)</f>
        <v/>
      </c>
      <c r="F22" s="28" t="n"/>
    </row>
    <row r="23">
      <c r="A23" s="27" t="n"/>
      <c r="B23" s="27" t="n"/>
      <c r="C23" s="28" t="n"/>
      <c r="D23" s="28" t="n"/>
      <c r="E23" s="17">
        <f>IF(D23="","",D23*Parametres!$B$6)</f>
        <v/>
      </c>
      <c r="F23" s="28" t="n"/>
    </row>
    <row r="24">
      <c r="A24" s="27" t="n"/>
      <c r="B24" s="27" t="n"/>
      <c r="C24" s="28" t="n"/>
      <c r="D24" s="28" t="n"/>
      <c r="E24" s="17">
        <f>IF(D24="","",D24*Parametres!$B$6)</f>
        <v/>
      </c>
      <c r="F24" s="28" t="n"/>
    </row>
    <row r="25">
      <c r="A25" s="27" t="n"/>
      <c r="B25" s="27" t="n"/>
      <c r="C25" s="28" t="n"/>
      <c r="D25" s="28" t="n"/>
      <c r="E25" s="17">
        <f>IF(D25="","",D25*Parametres!$B$6)</f>
        <v/>
      </c>
      <c r="F25" s="28" t="n"/>
    </row>
    <row r="26">
      <c r="A26" s="27" t="n"/>
      <c r="B26" s="27" t="n"/>
      <c r="C26" s="28" t="n"/>
      <c r="D26" s="28" t="n"/>
      <c r="E26" s="17">
        <f>IF(D26="","",D26*Parametres!$B$6)</f>
        <v/>
      </c>
      <c r="F26" s="28" t="n"/>
    </row>
    <row r="27">
      <c r="A27" s="27" t="n"/>
      <c r="B27" s="27" t="n"/>
      <c r="C27" s="28" t="n"/>
      <c r="D27" s="28" t="n"/>
      <c r="E27" s="17">
        <f>IF(D27="","",D27*Parametres!$B$6)</f>
        <v/>
      </c>
      <c r="F27" s="28" t="n"/>
    </row>
    <row r="28">
      <c r="A28" s="27" t="n"/>
      <c r="B28" s="27" t="n"/>
      <c r="C28" s="28" t="n"/>
      <c r="D28" s="28" t="n"/>
      <c r="E28" s="17">
        <f>IF(D28="","",D28*Parametres!$B$6)</f>
        <v/>
      </c>
      <c r="F28" s="28" t="n"/>
    </row>
    <row r="29">
      <c r="A29" s="27" t="n"/>
      <c r="B29" s="27" t="n"/>
      <c r="C29" s="28" t="n"/>
      <c r="D29" s="28" t="n"/>
      <c r="E29" s="17">
        <f>IF(D29="","",D29*Parametres!$B$6)</f>
        <v/>
      </c>
      <c r="F29" s="28" t="n"/>
    </row>
    <row r="30">
      <c r="A30" s="27" t="n"/>
      <c r="B30" s="27" t="n"/>
      <c r="C30" s="28" t="n"/>
      <c r="D30" s="28" t="n"/>
      <c r="E30" s="17">
        <f>IF(D30="","",D30*Parametres!$B$6)</f>
        <v/>
      </c>
      <c r="F30" s="28" t="n"/>
    </row>
    <row r="31">
      <c r="A31" s="27" t="n"/>
      <c r="B31" s="27" t="n"/>
      <c r="C31" s="28" t="n"/>
      <c r="D31" s="28" t="n"/>
      <c r="E31" s="17">
        <f>IF(D31="","",D31*Parametres!$B$6)</f>
        <v/>
      </c>
      <c r="F31" s="28" t="n"/>
    </row>
    <row r="32">
      <c r="A32" s="27" t="n"/>
      <c r="B32" s="27" t="n"/>
      <c r="C32" s="28" t="n"/>
      <c r="D32" s="28" t="n"/>
      <c r="E32" s="17">
        <f>IF(D32="","",D32*Parametres!$B$6)</f>
        <v/>
      </c>
      <c r="F32" s="28" t="n"/>
    </row>
    <row r="33">
      <c r="A33" s="27" t="n"/>
      <c r="B33" s="27" t="n"/>
      <c r="C33" s="28" t="n"/>
      <c r="D33" s="28" t="n"/>
      <c r="E33" s="17">
        <f>IF(D33="","",D33*Parametres!$B$6)</f>
        <v/>
      </c>
      <c r="F33" s="28" t="n"/>
    </row>
    <row r="34">
      <c r="A34" s="27" t="n"/>
      <c r="B34" s="27" t="n"/>
      <c r="C34" s="28" t="n"/>
      <c r="D34" s="28" t="n"/>
      <c r="E34" s="17">
        <f>IF(D34="","",D34*Parametres!$B$6)</f>
        <v/>
      </c>
      <c r="F34" s="28" t="n"/>
    </row>
    <row r="35">
      <c r="A35" s="27" t="n"/>
      <c r="B35" s="27" t="n"/>
      <c r="C35" s="28" t="n"/>
      <c r="D35" s="28" t="n"/>
      <c r="E35" s="17">
        <f>IF(D35="","",D35*Parametres!$B$6)</f>
        <v/>
      </c>
      <c r="F35" s="28" t="n"/>
    </row>
    <row r="36">
      <c r="A36" s="27" t="n"/>
      <c r="B36" s="27" t="n"/>
      <c r="C36" s="28" t="n"/>
      <c r="D36" s="28" t="n"/>
      <c r="E36" s="17">
        <f>IF(D36="","",D36*Parametres!$B$6)</f>
        <v/>
      </c>
      <c r="F36" s="28" t="n"/>
    </row>
    <row r="37">
      <c r="A37" s="27" t="n"/>
      <c r="B37" s="27" t="n"/>
      <c r="C37" s="28" t="n"/>
      <c r="D37" s="28" t="n"/>
      <c r="E37" s="17">
        <f>IF(D37="","",D37*Parametres!$B$6)</f>
        <v/>
      </c>
      <c r="F37" s="28" t="n"/>
    </row>
    <row r="38">
      <c r="A38" s="27" t="n"/>
      <c r="B38" s="27" t="n"/>
      <c r="C38" s="28" t="n"/>
      <c r="D38" s="28" t="n"/>
      <c r="E38" s="17">
        <f>IF(D38="","",D38*Parametres!$B$6)</f>
        <v/>
      </c>
      <c r="F38" s="28" t="n"/>
    </row>
    <row r="39">
      <c r="A39" s="27" t="n"/>
      <c r="B39" s="27" t="n"/>
      <c r="C39" s="28" t="n"/>
      <c r="D39" s="28" t="n"/>
      <c r="E39" s="17">
        <f>IF(D39="","",D39*Parametres!$B$6)</f>
        <v/>
      </c>
      <c r="F39" s="28" t="n"/>
    </row>
    <row r="40">
      <c r="A40" s="27" t="n"/>
      <c r="B40" s="27" t="n"/>
      <c r="C40" s="28" t="n"/>
      <c r="D40" s="28" t="n"/>
      <c r="E40" s="17">
        <f>IF(D40="","",D40*Parametres!$B$6)</f>
        <v/>
      </c>
      <c r="F40" s="28" t="n"/>
    </row>
    <row r="41">
      <c r="A41" s="27" t="n"/>
      <c r="B41" s="27" t="n"/>
      <c r="C41" s="28" t="n"/>
      <c r="D41" s="28" t="n"/>
      <c r="E41" s="17">
        <f>IF(D41="","",D41*Parametres!$B$6)</f>
        <v/>
      </c>
      <c r="F41" s="28" t="n"/>
    </row>
    <row r="42">
      <c r="A42" s="27" t="n"/>
      <c r="B42" s="27" t="n"/>
      <c r="C42" s="28" t="n"/>
      <c r="D42" s="28" t="n"/>
      <c r="E42" s="17">
        <f>IF(D42="","",D42*Parametres!$B$6)</f>
        <v/>
      </c>
      <c r="F42" s="28" t="n"/>
    </row>
    <row r="43">
      <c r="A43" s="27" t="n"/>
      <c r="B43" s="27" t="n"/>
      <c r="C43" s="28" t="n"/>
      <c r="D43" s="28" t="n"/>
      <c r="E43" s="17">
        <f>IF(D43="","",D43*Parametres!$B$6)</f>
        <v/>
      </c>
      <c r="F43" s="28" t="n"/>
    </row>
    <row r="44">
      <c r="A44" s="27" t="n"/>
      <c r="B44" s="27" t="n"/>
      <c r="C44" s="28" t="n"/>
      <c r="D44" s="28" t="n"/>
      <c r="E44" s="17">
        <f>IF(D44="","",D44*Parametres!$B$6)</f>
        <v/>
      </c>
      <c r="F44" s="28" t="n"/>
    </row>
    <row r="45">
      <c r="A45" s="27" t="n"/>
      <c r="B45" s="27" t="n"/>
      <c r="C45" s="28" t="n"/>
      <c r="D45" s="28" t="n"/>
      <c r="E45" s="17">
        <f>IF(D45="","",D45*Parametres!$B$6)</f>
        <v/>
      </c>
      <c r="F45" s="28" t="n"/>
    </row>
    <row r="46">
      <c r="A46" s="27" t="n"/>
      <c r="B46" s="27" t="n"/>
      <c r="C46" s="28" t="n"/>
      <c r="D46" s="28" t="n"/>
      <c r="E46" s="17">
        <f>IF(D46="","",D46*Parametres!$B$6)</f>
        <v/>
      </c>
      <c r="F46" s="28" t="n"/>
    </row>
    <row r="47">
      <c r="A47" s="27" t="n"/>
      <c r="B47" s="27" t="n"/>
      <c r="C47" s="28" t="n"/>
      <c r="D47" s="28" t="n"/>
      <c r="E47" s="17">
        <f>IF(D47="","",D47*Parametres!$B$6)</f>
        <v/>
      </c>
      <c r="F47" s="28" t="n"/>
    </row>
    <row r="48">
      <c r="A48" s="27" t="n"/>
      <c r="B48" s="27" t="n"/>
      <c r="C48" s="28" t="n"/>
      <c r="D48" s="28" t="n"/>
      <c r="E48" s="17">
        <f>IF(D48="","",D48*Parametres!$B$6)</f>
        <v/>
      </c>
      <c r="F48" s="28" t="n"/>
    </row>
    <row r="49">
      <c r="A49" s="27" t="n"/>
      <c r="B49" s="27" t="n"/>
      <c r="C49" s="28" t="n"/>
      <c r="D49" s="28" t="n"/>
      <c r="E49" s="17">
        <f>IF(D49="","",D49*Parametres!$B$6)</f>
        <v/>
      </c>
      <c r="F49" s="28" t="n"/>
    </row>
    <row r="50">
      <c r="A50" s="27" t="n"/>
      <c r="B50" s="27" t="n"/>
      <c r="C50" s="28" t="n"/>
      <c r="D50" s="28" t="n"/>
      <c r="E50" s="17">
        <f>IF(D50="","",D50*Parametres!$B$6)</f>
        <v/>
      </c>
      <c r="F50" s="28" t="n"/>
    </row>
    <row r="51">
      <c r="A51" s="27" t="n"/>
      <c r="B51" s="27" t="n"/>
      <c r="C51" s="28" t="n"/>
      <c r="D51" s="28" t="n"/>
      <c r="E51" s="17">
        <f>IF(D51="","",D51*Parametres!$B$6)</f>
        <v/>
      </c>
      <c r="F51" s="28" t="n"/>
    </row>
    <row r="52">
      <c r="A52" s="27" t="n"/>
      <c r="B52" s="27" t="n"/>
      <c r="C52" s="28" t="n"/>
      <c r="D52" s="28" t="n"/>
      <c r="E52" s="17">
        <f>IF(D52="","",D52*Parametres!$B$6)</f>
        <v/>
      </c>
      <c r="F52" s="28" t="n"/>
    </row>
    <row r="53">
      <c r="A53" s="27" t="n"/>
      <c r="B53" s="27" t="n"/>
      <c r="C53" s="28" t="n"/>
      <c r="D53" s="28" t="n"/>
      <c r="E53" s="17">
        <f>IF(D53="","",D53*Parametres!$B$6)</f>
        <v/>
      </c>
      <c r="F53" s="28" t="n"/>
    </row>
    <row r="54">
      <c r="A54" s="27" t="n"/>
      <c r="B54" s="27" t="n"/>
      <c r="C54" s="28" t="n"/>
      <c r="D54" s="28" t="n"/>
      <c r="E54" s="17">
        <f>IF(D54="","",D54*Parametres!$B$6)</f>
        <v/>
      </c>
      <c r="F54" s="28" t="n"/>
    </row>
    <row r="55">
      <c r="A55" s="27" t="n"/>
      <c r="B55" s="27" t="n"/>
      <c r="C55" s="28" t="n"/>
      <c r="D55" s="28" t="n"/>
      <c r="E55" s="17">
        <f>IF(D55="","",D55*Parametres!$B$6)</f>
        <v/>
      </c>
      <c r="F55" s="28" t="n"/>
    </row>
    <row r="56">
      <c r="A56" s="27" t="n"/>
      <c r="B56" s="27" t="n"/>
      <c r="C56" s="28" t="n"/>
      <c r="D56" s="28" t="n"/>
      <c r="E56" s="17">
        <f>IF(D56="","",D56*Parametres!$B$6)</f>
        <v/>
      </c>
      <c r="F56" s="28" t="n"/>
    </row>
    <row r="57">
      <c r="A57" s="27" t="n"/>
      <c r="B57" s="27" t="n"/>
      <c r="C57" s="28" t="n"/>
      <c r="D57" s="28" t="n"/>
      <c r="E57" s="17">
        <f>IF(D57="","",D57*Parametres!$B$6)</f>
        <v/>
      </c>
      <c r="F57" s="28" t="n"/>
    </row>
    <row r="58">
      <c r="A58" s="27" t="n"/>
      <c r="B58" s="27" t="n"/>
      <c r="C58" s="28" t="n"/>
      <c r="D58" s="28" t="n"/>
      <c r="E58" s="17">
        <f>IF(D58="","",D58*Parametres!$B$6)</f>
        <v/>
      </c>
      <c r="F58" s="28" t="n"/>
    </row>
    <row r="59">
      <c r="A59" s="27" t="n"/>
      <c r="B59" s="27" t="n"/>
      <c r="C59" s="28" t="n"/>
      <c r="D59" s="28" t="n"/>
      <c r="E59" s="17">
        <f>IF(D59="","",D59*Parametres!$B$6)</f>
        <v/>
      </c>
      <c r="F59" s="28" t="n"/>
    </row>
    <row r="60">
      <c r="A60" s="27" t="n"/>
      <c r="B60" s="27" t="n"/>
      <c r="C60" s="28" t="n"/>
      <c r="D60" s="28" t="n"/>
      <c r="E60" s="17">
        <f>IF(D60="","",D60*Parametres!$B$6)</f>
        <v/>
      </c>
      <c r="F60" s="28" t="n"/>
    </row>
    <row r="61">
      <c r="A61" s="27" t="n"/>
      <c r="B61" s="27" t="n"/>
      <c r="C61" s="28" t="n"/>
      <c r="D61" s="28" t="n"/>
      <c r="E61" s="17">
        <f>IF(D61="","",D61*Parametres!$B$6)</f>
        <v/>
      </c>
      <c r="F61" s="28" t="n"/>
    </row>
    <row r="62">
      <c r="A62" s="27" t="n"/>
      <c r="B62" s="27" t="n"/>
      <c r="C62" s="28" t="n"/>
      <c r="D62" s="28" t="n"/>
      <c r="E62" s="17">
        <f>IF(D62="","",D62*Parametres!$B$6)</f>
        <v/>
      </c>
      <c r="F62" s="28" t="n"/>
    </row>
    <row r="63">
      <c r="A63" s="27" t="n"/>
      <c r="B63" s="27" t="n"/>
      <c r="C63" s="28" t="n"/>
      <c r="D63" s="28" t="n"/>
      <c r="E63" s="17">
        <f>IF(D63="","",D63*Parametres!$B$6)</f>
        <v/>
      </c>
      <c r="F63" s="28" t="n"/>
    </row>
    <row r="64">
      <c r="A64" s="27" t="n"/>
      <c r="B64" s="27" t="n"/>
      <c r="C64" s="28" t="n"/>
      <c r="D64" s="28" t="n"/>
      <c r="E64" s="17">
        <f>IF(D64="","",D64*Parametres!$B$6)</f>
        <v/>
      </c>
      <c r="F64" s="28" t="n"/>
    </row>
    <row r="65">
      <c r="A65" s="27" t="n"/>
      <c r="B65" s="27" t="n"/>
      <c r="C65" s="28" t="n"/>
      <c r="D65" s="28" t="n"/>
      <c r="E65" s="17">
        <f>IF(D65="","",D65*Parametres!$B$6)</f>
        <v/>
      </c>
      <c r="F65" s="28" t="n"/>
    </row>
    <row r="66">
      <c r="A66" s="27" t="n"/>
      <c r="B66" s="27" t="n"/>
      <c r="C66" s="28" t="n"/>
      <c r="D66" s="28" t="n"/>
      <c r="E66" s="17">
        <f>IF(D66="","",D66*Parametres!$B$6)</f>
        <v/>
      </c>
      <c r="F66" s="28" t="n"/>
    </row>
    <row r="67">
      <c r="A67" s="27" t="n"/>
      <c r="B67" s="27" t="n"/>
      <c r="C67" s="28" t="n"/>
      <c r="D67" s="28" t="n"/>
      <c r="E67" s="17">
        <f>IF(D67="","",D67*Parametres!$B$6)</f>
        <v/>
      </c>
      <c r="F67" s="28" t="n"/>
    </row>
    <row r="68">
      <c r="A68" s="27" t="n"/>
      <c r="B68" s="27" t="n"/>
      <c r="C68" s="28" t="n"/>
      <c r="D68" s="28" t="n"/>
      <c r="E68" s="17">
        <f>IF(D68="","",D68*Parametres!$B$6)</f>
        <v/>
      </c>
      <c r="F68" s="28" t="n"/>
    </row>
    <row r="69">
      <c r="A69" s="27" t="n"/>
      <c r="B69" s="27" t="n"/>
      <c r="C69" s="28" t="n"/>
      <c r="D69" s="28" t="n"/>
      <c r="E69" s="17">
        <f>IF(D69="","",D69*Parametres!$B$6)</f>
        <v/>
      </c>
      <c r="F69" s="28" t="n"/>
    </row>
    <row r="70">
      <c r="A70" s="27" t="n"/>
      <c r="B70" s="27" t="n"/>
      <c r="C70" s="28" t="n"/>
      <c r="D70" s="28" t="n"/>
      <c r="E70" s="17">
        <f>IF(D70="","",D70*Parametres!$B$6)</f>
        <v/>
      </c>
      <c r="F70" s="28" t="n"/>
    </row>
    <row r="71">
      <c r="A71" s="27" t="n"/>
      <c r="B71" s="27" t="n"/>
      <c r="C71" s="28" t="n"/>
      <c r="D71" s="28" t="n"/>
      <c r="E71" s="17">
        <f>IF(D71="","",D71*Parametres!$B$6)</f>
        <v/>
      </c>
      <c r="F71" s="28" t="n"/>
    </row>
    <row r="72">
      <c r="A72" s="27" t="n"/>
      <c r="B72" s="27" t="n"/>
      <c r="C72" s="28" t="n"/>
      <c r="D72" s="28" t="n"/>
      <c r="E72" s="17">
        <f>IF(D72="","",D72*Parametres!$B$6)</f>
        <v/>
      </c>
      <c r="F72" s="28" t="n"/>
    </row>
    <row r="73">
      <c r="A73" s="27" t="n"/>
      <c r="B73" s="27" t="n"/>
      <c r="C73" s="28" t="n"/>
      <c r="D73" s="28" t="n"/>
      <c r="E73" s="17">
        <f>IF(D73="","",D73*Parametres!$B$6)</f>
        <v/>
      </c>
      <c r="F73" s="28" t="n"/>
    </row>
    <row r="74">
      <c r="A74" s="27" t="n"/>
      <c r="B74" s="27" t="n"/>
      <c r="C74" s="28" t="n"/>
      <c r="D74" s="28" t="n"/>
      <c r="E74" s="17">
        <f>IF(D74="","",D74*Parametres!$B$6)</f>
        <v/>
      </c>
      <c r="F74" s="28" t="n"/>
    </row>
    <row r="75">
      <c r="A75" s="27" t="n"/>
      <c r="B75" s="27" t="n"/>
      <c r="C75" s="28" t="n"/>
      <c r="D75" s="28" t="n"/>
      <c r="E75" s="17">
        <f>IF(D75="","",D75*Parametres!$B$6)</f>
        <v/>
      </c>
      <c r="F75" s="28" t="n"/>
    </row>
    <row r="76">
      <c r="A76" s="27" t="n"/>
      <c r="B76" s="27" t="n"/>
      <c r="C76" s="28" t="n"/>
      <c r="D76" s="28" t="n"/>
      <c r="E76" s="17">
        <f>IF(D76="","",D76*Parametres!$B$6)</f>
        <v/>
      </c>
      <c r="F76" s="28" t="n"/>
    </row>
    <row r="77">
      <c r="A77" s="27" t="n"/>
      <c r="B77" s="27" t="n"/>
      <c r="C77" s="28" t="n"/>
      <c r="D77" s="28" t="n"/>
      <c r="E77" s="17">
        <f>IF(D77="","",D77*Parametres!$B$6)</f>
        <v/>
      </c>
      <c r="F77" s="28" t="n"/>
    </row>
    <row r="78">
      <c r="A78" s="27" t="n"/>
      <c r="B78" s="27" t="n"/>
      <c r="C78" s="28" t="n"/>
      <c r="D78" s="28" t="n"/>
      <c r="E78" s="17">
        <f>IF(D78="","",D78*Parametres!$B$6)</f>
        <v/>
      </c>
      <c r="F78" s="28" t="n"/>
    </row>
    <row r="79">
      <c r="A79" s="27" t="n"/>
      <c r="B79" s="27" t="n"/>
      <c r="C79" s="28" t="n"/>
      <c r="D79" s="28" t="n"/>
      <c r="E79" s="17">
        <f>IF(D79="","",D79*Parametres!$B$6)</f>
        <v/>
      </c>
      <c r="F79" s="28" t="n"/>
    </row>
    <row r="80">
      <c r="A80" s="27" t="n"/>
      <c r="B80" s="27" t="n"/>
      <c r="C80" s="28" t="n"/>
      <c r="D80" s="28" t="n"/>
      <c r="E80" s="17">
        <f>IF(D80="","",D80*Parametres!$B$6)</f>
        <v/>
      </c>
      <c r="F80" s="28" t="n"/>
    </row>
    <row r="81">
      <c r="A81" s="27" t="n"/>
      <c r="B81" s="27" t="n"/>
      <c r="C81" s="28" t="n"/>
      <c r="D81" s="28" t="n"/>
      <c r="E81" s="17">
        <f>IF(D81="","",D81*Parametres!$B$6)</f>
        <v/>
      </c>
      <c r="F81" s="28" t="n"/>
    </row>
    <row r="82">
      <c r="A82" s="27" t="n"/>
      <c r="B82" s="27" t="n"/>
      <c r="C82" s="28" t="n"/>
      <c r="D82" s="28" t="n"/>
      <c r="E82" s="17">
        <f>IF(D82="","",D82*Parametres!$B$6)</f>
        <v/>
      </c>
      <c r="F82" s="28" t="n"/>
    </row>
    <row r="83">
      <c r="A83" s="27" t="n"/>
      <c r="B83" s="27" t="n"/>
      <c r="C83" s="28" t="n"/>
      <c r="D83" s="28" t="n"/>
      <c r="E83" s="17">
        <f>IF(D83="","",D83*Parametres!$B$6)</f>
        <v/>
      </c>
      <c r="F83" s="28" t="n"/>
    </row>
    <row r="84">
      <c r="A84" s="27" t="n"/>
      <c r="B84" s="27" t="n"/>
      <c r="C84" s="28" t="n"/>
      <c r="D84" s="28" t="n"/>
      <c r="E84" s="17">
        <f>IF(D84="","",D84*Parametres!$B$6)</f>
        <v/>
      </c>
      <c r="F84" s="28" t="n"/>
    </row>
    <row r="85">
      <c r="A85" s="27" t="n"/>
      <c r="B85" s="27" t="n"/>
      <c r="C85" s="28" t="n"/>
      <c r="D85" s="28" t="n"/>
      <c r="E85" s="17">
        <f>IF(D85="","",D85*Parametres!$B$6)</f>
        <v/>
      </c>
      <c r="F85" s="28" t="n"/>
    </row>
    <row r="86">
      <c r="A86" s="27" t="n"/>
      <c r="B86" s="27" t="n"/>
      <c r="C86" s="28" t="n"/>
      <c r="D86" s="28" t="n"/>
      <c r="E86" s="17">
        <f>IF(D86="","",D86*Parametres!$B$6)</f>
        <v/>
      </c>
      <c r="F86" s="28" t="n"/>
    </row>
    <row r="87">
      <c r="A87" s="27" t="n"/>
      <c r="B87" s="27" t="n"/>
      <c r="C87" s="28" t="n"/>
      <c r="D87" s="28" t="n"/>
      <c r="E87" s="17">
        <f>IF(D87="","",D87*Parametres!$B$6)</f>
        <v/>
      </c>
      <c r="F87" s="28" t="n"/>
    </row>
    <row r="88">
      <c r="A88" s="27" t="n"/>
      <c r="B88" s="27" t="n"/>
      <c r="C88" s="28" t="n"/>
      <c r="D88" s="28" t="n"/>
      <c r="E88" s="17">
        <f>IF(D88="","",D88*Parametres!$B$6)</f>
        <v/>
      </c>
      <c r="F88" s="28" t="n"/>
    </row>
    <row r="89">
      <c r="A89" s="27" t="n"/>
      <c r="B89" s="27" t="n"/>
      <c r="C89" s="28" t="n"/>
      <c r="D89" s="28" t="n"/>
      <c r="E89" s="17">
        <f>IF(D89="","",D89*Parametres!$B$6)</f>
        <v/>
      </c>
      <c r="F89" s="28" t="n"/>
    </row>
    <row r="90">
      <c r="A90" s="27" t="n"/>
      <c r="B90" s="27" t="n"/>
      <c r="C90" s="28" t="n"/>
      <c r="D90" s="28" t="n"/>
      <c r="E90" s="17">
        <f>IF(D90="","",D90*Parametres!$B$6)</f>
        <v/>
      </c>
      <c r="F90" s="28" t="n"/>
    </row>
    <row r="91">
      <c r="A91" s="27" t="n"/>
      <c r="B91" s="27" t="n"/>
      <c r="C91" s="28" t="n"/>
      <c r="D91" s="28" t="n"/>
      <c r="E91" s="17">
        <f>IF(D91="","",D91*Parametres!$B$6)</f>
        <v/>
      </c>
      <c r="F91" s="28" t="n"/>
    </row>
    <row r="92">
      <c r="A92" s="27" t="n"/>
      <c r="B92" s="27" t="n"/>
      <c r="C92" s="28" t="n"/>
      <c r="D92" s="28" t="n"/>
      <c r="E92" s="17">
        <f>IF(D92="","",D92*Parametres!$B$6)</f>
        <v/>
      </c>
      <c r="F92" s="28" t="n"/>
    </row>
    <row r="93">
      <c r="A93" s="27" t="n"/>
      <c r="B93" s="27" t="n"/>
      <c r="C93" s="28" t="n"/>
      <c r="D93" s="28" t="n"/>
      <c r="E93" s="17">
        <f>IF(D93="","",D93*Parametres!$B$6)</f>
        <v/>
      </c>
      <c r="F93" s="28" t="n"/>
    </row>
    <row r="94">
      <c r="A94" s="27" t="n"/>
      <c r="B94" s="27" t="n"/>
      <c r="C94" s="28" t="n"/>
      <c r="D94" s="28" t="n"/>
      <c r="E94" s="17">
        <f>IF(D94="","",D94*Parametres!$B$6)</f>
        <v/>
      </c>
      <c r="F94" s="28" t="n"/>
    </row>
    <row r="95">
      <c r="A95" s="27" t="n"/>
      <c r="B95" s="27" t="n"/>
      <c r="C95" s="28" t="n"/>
      <c r="D95" s="28" t="n"/>
      <c r="E95" s="17">
        <f>IF(D95="","",D95*Parametres!$B$6)</f>
        <v/>
      </c>
      <c r="F95" s="28" t="n"/>
    </row>
    <row r="96">
      <c r="A96" s="27" t="n"/>
      <c r="B96" s="27" t="n"/>
      <c r="C96" s="28" t="n"/>
      <c r="D96" s="28" t="n"/>
      <c r="E96" s="17">
        <f>IF(D96="","",D96*Parametres!$B$6)</f>
        <v/>
      </c>
      <c r="F96" s="28" t="n"/>
    </row>
    <row r="97">
      <c r="A97" s="27" t="n"/>
      <c r="B97" s="27" t="n"/>
      <c r="C97" s="28" t="n"/>
      <c r="D97" s="28" t="n"/>
      <c r="E97" s="17">
        <f>IF(D97="","",D97*Parametres!$B$6)</f>
        <v/>
      </c>
      <c r="F97" s="28" t="n"/>
    </row>
    <row r="98">
      <c r="A98" s="27" t="n"/>
      <c r="B98" s="27" t="n"/>
      <c r="C98" s="28" t="n"/>
      <c r="D98" s="28" t="n"/>
      <c r="E98" s="17">
        <f>IF(D98="","",D98*Parametres!$B$6)</f>
        <v/>
      </c>
      <c r="F98" s="28" t="n"/>
    </row>
    <row r="99">
      <c r="A99" s="27" t="n"/>
      <c r="B99" s="27" t="n"/>
      <c r="C99" s="28" t="n"/>
      <c r="D99" s="28" t="n"/>
      <c r="E99" s="17">
        <f>IF(D99="","",D99*Parametres!$B$6)</f>
        <v/>
      </c>
      <c r="F99" s="28" t="n"/>
    </row>
    <row r="100">
      <c r="A100" s="27" t="n"/>
      <c r="B100" s="27" t="n"/>
      <c r="C100" s="28" t="n"/>
      <c r="D100" s="28" t="n"/>
      <c r="E100" s="17">
        <f>IF(D100="","",D100*Parametres!$B$6)</f>
        <v/>
      </c>
      <c r="F100" s="28" t="n"/>
    </row>
    <row r="101">
      <c r="A101" s="27" t="n"/>
      <c r="B101" s="27" t="n"/>
      <c r="C101" s="28" t="n"/>
      <c r="D101" s="28" t="n"/>
      <c r="E101" s="17">
        <f>IF(D101="","",D101*Parametres!$B$6)</f>
        <v/>
      </c>
      <c r="F101" s="28" t="n"/>
    </row>
    <row r="102">
      <c r="A102" s="27" t="n"/>
      <c r="B102" s="27" t="n"/>
      <c r="C102" s="28" t="n"/>
      <c r="D102" s="28" t="n"/>
      <c r="E102" s="17">
        <f>IF(D102="","",D102*Parametres!$B$6)</f>
        <v/>
      </c>
      <c r="F102" s="28" t="n"/>
    </row>
    <row r="103">
      <c r="A103" s="27" t="n"/>
      <c r="B103" s="27" t="n"/>
      <c r="C103" s="28" t="n"/>
      <c r="D103" s="28" t="n"/>
      <c r="E103" s="17">
        <f>IF(D103="","",D103*Parametres!$B$6)</f>
        <v/>
      </c>
      <c r="F103" s="28" t="n"/>
    </row>
    <row r="104">
      <c r="A104" s="27" t="n"/>
      <c r="B104" s="27" t="n"/>
      <c r="C104" s="28" t="n"/>
      <c r="D104" s="28" t="n"/>
      <c r="E104" s="17">
        <f>IF(D104="","",D104*Parametres!$B$6)</f>
        <v/>
      </c>
      <c r="F104" s="28" t="n"/>
    </row>
    <row r="105">
      <c r="A105" s="27" t="n"/>
      <c r="B105" s="27" t="n"/>
      <c r="C105" s="28" t="n"/>
      <c r="D105" s="28" t="n"/>
      <c r="E105" s="17">
        <f>IF(D105="","",D105*Parametres!$B$6)</f>
        <v/>
      </c>
      <c r="F105" s="28" t="n"/>
    </row>
    <row r="106">
      <c r="A106" s="27" t="n"/>
      <c r="B106" s="27" t="n"/>
      <c r="C106" s="28" t="n"/>
      <c r="D106" s="28" t="n"/>
      <c r="E106" s="17">
        <f>IF(D106="","",D106*Parametres!$B$6)</f>
        <v/>
      </c>
      <c r="F106" s="28" t="n"/>
    </row>
    <row r="107">
      <c r="A107" s="27" t="n"/>
      <c r="B107" s="27" t="n"/>
      <c r="C107" s="28" t="n"/>
      <c r="D107" s="28" t="n"/>
      <c r="E107" s="17">
        <f>IF(D107="","",D107*Parametres!$B$6)</f>
        <v/>
      </c>
      <c r="F107" s="28" t="n"/>
    </row>
    <row r="108">
      <c r="A108" s="27" t="n"/>
      <c r="B108" s="27" t="n"/>
      <c r="C108" s="28" t="n"/>
      <c r="D108" s="28" t="n"/>
      <c r="E108" s="17">
        <f>IF(D108="","",D108*Parametres!$B$6)</f>
        <v/>
      </c>
      <c r="F108" s="28" t="n"/>
    </row>
    <row r="109">
      <c r="A109" s="27" t="n"/>
      <c r="B109" s="27" t="n"/>
      <c r="C109" s="28" t="n"/>
      <c r="D109" s="28" t="n"/>
      <c r="E109" s="17">
        <f>IF(D109="","",D109*Parametres!$B$6)</f>
        <v/>
      </c>
      <c r="F109" s="28" t="n"/>
    </row>
    <row r="110">
      <c r="A110" s="27" t="n"/>
      <c r="B110" s="27" t="n"/>
      <c r="C110" s="28" t="n"/>
      <c r="D110" s="28" t="n"/>
      <c r="E110" s="17">
        <f>IF(D110="","",D110*Parametres!$B$6)</f>
        <v/>
      </c>
      <c r="F110" s="28" t="n"/>
    </row>
    <row r="111">
      <c r="A111" s="27" t="n"/>
      <c r="B111" s="27" t="n"/>
      <c r="C111" s="28" t="n"/>
      <c r="D111" s="28" t="n"/>
      <c r="E111" s="17">
        <f>IF(D111="","",D111*Parametres!$B$6)</f>
        <v/>
      </c>
      <c r="F111" s="28" t="n"/>
    </row>
    <row r="112">
      <c r="A112" s="27" t="n"/>
      <c r="B112" s="27" t="n"/>
      <c r="C112" s="28" t="n"/>
      <c r="D112" s="28" t="n"/>
      <c r="E112" s="17">
        <f>IF(D112="","",D112*Parametres!$B$6)</f>
        <v/>
      </c>
      <c r="F112" s="28" t="n"/>
    </row>
    <row r="113">
      <c r="A113" s="27" t="n"/>
      <c r="B113" s="27" t="n"/>
      <c r="C113" s="28" t="n"/>
      <c r="D113" s="28" t="n"/>
      <c r="E113" s="17">
        <f>IF(D113="","",D113*Parametres!$B$6)</f>
        <v/>
      </c>
      <c r="F113" s="28" t="n"/>
    </row>
    <row r="114">
      <c r="A114" s="27" t="n"/>
      <c r="B114" s="27" t="n"/>
      <c r="C114" s="28" t="n"/>
      <c r="D114" s="28" t="n"/>
      <c r="E114" s="17">
        <f>IF(D114="","",D114*Parametres!$B$6)</f>
        <v/>
      </c>
      <c r="F114" s="28" t="n"/>
    </row>
    <row r="115">
      <c r="A115" s="27" t="n"/>
      <c r="B115" s="27" t="n"/>
      <c r="C115" s="28" t="n"/>
      <c r="D115" s="28" t="n"/>
      <c r="E115" s="17">
        <f>IF(D115="","",D115*Parametres!$B$6)</f>
        <v/>
      </c>
      <c r="F115" s="28" t="n"/>
    </row>
    <row r="116">
      <c r="A116" s="27" t="n"/>
      <c r="B116" s="27" t="n"/>
      <c r="C116" s="28" t="n"/>
      <c r="D116" s="28" t="n"/>
      <c r="E116" s="17">
        <f>IF(D116="","",D116*Parametres!$B$6)</f>
        <v/>
      </c>
      <c r="F116" s="28" t="n"/>
    </row>
    <row r="117">
      <c r="A117" s="27" t="n"/>
      <c r="B117" s="27" t="n"/>
      <c r="C117" s="28" t="n"/>
      <c r="D117" s="28" t="n"/>
      <c r="E117" s="17">
        <f>IF(D117="","",D117*Parametres!$B$6)</f>
        <v/>
      </c>
      <c r="F117" s="28" t="n"/>
    </row>
    <row r="118">
      <c r="A118" s="27" t="n"/>
      <c r="B118" s="27" t="n"/>
      <c r="C118" s="28" t="n"/>
      <c r="D118" s="28" t="n"/>
      <c r="E118" s="17">
        <f>IF(D118="","",D118*Parametres!$B$6)</f>
        <v/>
      </c>
      <c r="F118" s="28" t="n"/>
    </row>
    <row r="119">
      <c r="A119" s="27" t="n"/>
      <c r="B119" s="27" t="n"/>
      <c r="C119" s="28" t="n"/>
      <c r="D119" s="28" t="n"/>
      <c r="E119" s="17">
        <f>IF(D119="","",D119*Parametres!$B$6)</f>
        <v/>
      </c>
      <c r="F119" s="28" t="n"/>
    </row>
    <row r="120">
      <c r="A120" s="27" t="n"/>
      <c r="B120" s="27" t="n"/>
      <c r="C120" s="28" t="n"/>
      <c r="D120" s="28" t="n"/>
      <c r="E120" s="17">
        <f>IF(D120="","",D120*Parametres!$B$6)</f>
        <v/>
      </c>
      <c r="F120" s="28" t="n"/>
    </row>
    <row r="121">
      <c r="A121" s="27" t="n"/>
      <c r="B121" s="27" t="n"/>
      <c r="C121" s="28" t="n"/>
      <c r="D121" s="28" t="n"/>
      <c r="E121" s="17">
        <f>IF(D121="","",D121*Parametres!$B$6)</f>
        <v/>
      </c>
      <c r="F121" s="28" t="n"/>
    </row>
    <row r="122">
      <c r="A122" s="27" t="n"/>
      <c r="B122" s="27" t="n"/>
      <c r="C122" s="28" t="n"/>
      <c r="D122" s="28" t="n"/>
      <c r="E122" s="17">
        <f>IF(D122="","",D122*Parametres!$B$6)</f>
        <v/>
      </c>
      <c r="F122" s="28" t="n"/>
    </row>
    <row r="123">
      <c r="A123" s="27" t="n"/>
      <c r="B123" s="27" t="n"/>
      <c r="C123" s="28" t="n"/>
      <c r="D123" s="28" t="n"/>
      <c r="E123" s="17">
        <f>IF(D123="","",D123*Parametres!$B$6)</f>
        <v/>
      </c>
      <c r="F123" s="28" t="n"/>
    </row>
    <row r="124">
      <c r="A124" s="27" t="n"/>
      <c r="B124" s="27" t="n"/>
      <c r="C124" s="28" t="n"/>
      <c r="D124" s="28" t="n"/>
      <c r="E124" s="17">
        <f>IF(D124="","",D124*Parametres!$B$6)</f>
        <v/>
      </c>
      <c r="F124" s="28" t="n"/>
    </row>
    <row r="125">
      <c r="A125" s="27" t="n"/>
      <c r="B125" s="27" t="n"/>
      <c r="C125" s="28" t="n"/>
      <c r="D125" s="28" t="n"/>
      <c r="E125" s="17">
        <f>IF(D125="","",D125*Parametres!$B$6)</f>
        <v/>
      </c>
      <c r="F125" s="28" t="n"/>
    </row>
    <row r="126">
      <c r="A126" s="27" t="n"/>
      <c r="B126" s="27" t="n"/>
      <c r="C126" s="28" t="n"/>
      <c r="D126" s="28" t="n"/>
      <c r="E126" s="17">
        <f>IF(D126="","",D126*Parametres!$B$6)</f>
        <v/>
      </c>
      <c r="F126" s="28" t="n"/>
    </row>
    <row r="127">
      <c r="A127" s="27" t="n"/>
      <c r="B127" s="27" t="n"/>
      <c r="C127" s="28" t="n"/>
      <c r="D127" s="28" t="n"/>
      <c r="E127" s="17">
        <f>IF(D127="","",D127*Parametres!$B$6)</f>
        <v/>
      </c>
      <c r="F127" s="28" t="n"/>
    </row>
    <row r="128">
      <c r="A128" s="27" t="n"/>
      <c r="B128" s="27" t="n"/>
      <c r="C128" s="28" t="n"/>
      <c r="D128" s="28" t="n"/>
      <c r="E128" s="17">
        <f>IF(D128="","",D128*Parametres!$B$6)</f>
        <v/>
      </c>
      <c r="F128" s="28" t="n"/>
    </row>
    <row r="129">
      <c r="A129" s="27" t="n"/>
      <c r="B129" s="27" t="n"/>
      <c r="C129" s="28" t="n"/>
      <c r="D129" s="28" t="n"/>
      <c r="E129" s="17">
        <f>IF(D129="","",D129*Parametres!$B$6)</f>
        <v/>
      </c>
      <c r="F129" s="28" t="n"/>
    </row>
    <row r="130">
      <c r="A130" s="27" t="n"/>
      <c r="B130" s="27" t="n"/>
      <c r="C130" s="28" t="n"/>
      <c r="D130" s="28" t="n"/>
      <c r="E130" s="17">
        <f>IF(D130="","",D130*Parametres!$B$6)</f>
        <v/>
      </c>
      <c r="F130" s="28" t="n"/>
    </row>
    <row r="131">
      <c r="A131" s="27" t="n"/>
      <c r="B131" s="27" t="n"/>
      <c r="C131" s="28" t="n"/>
      <c r="D131" s="28" t="n"/>
      <c r="E131" s="17">
        <f>IF(D131="","",D131*Parametres!$B$6)</f>
        <v/>
      </c>
      <c r="F131" s="28" t="n"/>
    </row>
    <row r="132">
      <c r="A132" s="27" t="n"/>
      <c r="B132" s="27" t="n"/>
      <c r="C132" s="28" t="n"/>
      <c r="D132" s="28" t="n"/>
      <c r="E132" s="17">
        <f>IF(D132="","",D132*Parametres!$B$6)</f>
        <v/>
      </c>
      <c r="F132" s="28" t="n"/>
    </row>
    <row r="133">
      <c r="A133" s="27" t="n"/>
      <c r="B133" s="27" t="n"/>
      <c r="C133" s="28" t="n"/>
      <c r="D133" s="28" t="n"/>
      <c r="E133" s="17">
        <f>IF(D133="","",D133*Parametres!$B$6)</f>
        <v/>
      </c>
      <c r="F133" s="28" t="n"/>
    </row>
    <row r="134">
      <c r="A134" s="27" t="n"/>
      <c r="B134" s="27" t="n"/>
      <c r="C134" s="28" t="n"/>
      <c r="D134" s="28" t="n"/>
      <c r="E134" s="17">
        <f>IF(D134="","",D134*Parametres!$B$6)</f>
        <v/>
      </c>
      <c r="F134" s="28" t="n"/>
    </row>
    <row r="135">
      <c r="A135" s="27" t="n"/>
      <c r="B135" s="27" t="n"/>
      <c r="C135" s="28" t="n"/>
      <c r="D135" s="28" t="n"/>
      <c r="E135" s="17">
        <f>IF(D135="","",D135*Parametres!$B$6)</f>
        <v/>
      </c>
      <c r="F135" s="28" t="n"/>
    </row>
    <row r="136">
      <c r="A136" s="27" t="n"/>
      <c r="B136" s="27" t="n"/>
      <c r="C136" s="28" t="n"/>
      <c r="D136" s="28" t="n"/>
      <c r="E136" s="17">
        <f>IF(D136="","",D136*Parametres!$B$6)</f>
        <v/>
      </c>
      <c r="F136" s="28" t="n"/>
    </row>
    <row r="137">
      <c r="A137" s="27" t="n"/>
      <c r="B137" s="27" t="n"/>
      <c r="C137" s="28" t="n"/>
      <c r="D137" s="28" t="n"/>
      <c r="E137" s="17">
        <f>IF(D137="","",D137*Parametres!$B$6)</f>
        <v/>
      </c>
      <c r="F137" s="28" t="n"/>
    </row>
    <row r="138">
      <c r="A138" s="27" t="n"/>
      <c r="B138" s="27" t="n"/>
      <c r="C138" s="28" t="n"/>
      <c r="D138" s="28" t="n"/>
      <c r="E138" s="17">
        <f>IF(D138="","",D138*Parametres!$B$6)</f>
        <v/>
      </c>
      <c r="F138" s="28" t="n"/>
    </row>
    <row r="139">
      <c r="A139" s="27" t="n"/>
      <c r="B139" s="27" t="n"/>
      <c r="C139" s="28" t="n"/>
      <c r="D139" s="28" t="n"/>
      <c r="E139" s="17">
        <f>IF(D139="","",D139*Parametres!$B$6)</f>
        <v/>
      </c>
      <c r="F139" s="28" t="n"/>
    </row>
    <row r="140">
      <c r="A140" s="27" t="n"/>
      <c r="B140" s="27" t="n"/>
      <c r="C140" s="28" t="n"/>
      <c r="D140" s="28" t="n"/>
      <c r="E140" s="17">
        <f>IF(D140="","",D140*Parametres!$B$6)</f>
        <v/>
      </c>
      <c r="F140" s="28" t="n"/>
    </row>
    <row r="141">
      <c r="A141" s="27" t="n"/>
      <c r="B141" s="27" t="n"/>
      <c r="C141" s="28" t="n"/>
      <c r="D141" s="28" t="n"/>
      <c r="E141" s="17">
        <f>IF(D141="","",D141*Parametres!$B$6)</f>
        <v/>
      </c>
      <c r="F141" s="28" t="n"/>
    </row>
    <row r="142">
      <c r="A142" s="27" t="n"/>
      <c r="B142" s="27" t="n"/>
      <c r="C142" s="28" t="n"/>
      <c r="D142" s="28" t="n"/>
      <c r="E142" s="17">
        <f>IF(D142="","",D142*Parametres!$B$6)</f>
        <v/>
      </c>
      <c r="F142" s="28" t="n"/>
    </row>
    <row r="143">
      <c r="A143" s="27" t="n"/>
      <c r="B143" s="27" t="n"/>
      <c r="C143" s="28" t="n"/>
      <c r="D143" s="28" t="n"/>
      <c r="E143" s="17">
        <f>IF(D143="","",D143*Parametres!$B$6)</f>
        <v/>
      </c>
      <c r="F143" s="28" t="n"/>
    </row>
    <row r="144">
      <c r="A144" s="27" t="n"/>
      <c r="B144" s="27" t="n"/>
      <c r="C144" s="28" t="n"/>
      <c r="D144" s="28" t="n"/>
      <c r="E144" s="17">
        <f>IF(D144="","",D144*Parametres!$B$6)</f>
        <v/>
      </c>
      <c r="F144" s="28" t="n"/>
    </row>
    <row r="145">
      <c r="A145" s="27" t="n"/>
      <c r="B145" s="27" t="n"/>
      <c r="C145" s="28" t="n"/>
      <c r="D145" s="28" t="n"/>
      <c r="E145" s="17">
        <f>IF(D145="","",D145*Parametres!$B$6)</f>
        <v/>
      </c>
      <c r="F145" s="28" t="n"/>
    </row>
    <row r="146">
      <c r="A146" s="27" t="n"/>
      <c r="B146" s="27" t="n"/>
      <c r="C146" s="28" t="n"/>
      <c r="D146" s="28" t="n"/>
      <c r="E146" s="17">
        <f>IF(D146="","",D146*Parametres!$B$6)</f>
        <v/>
      </c>
      <c r="F146" s="28" t="n"/>
    </row>
    <row r="147">
      <c r="A147" s="27" t="n"/>
      <c r="B147" s="27" t="n"/>
      <c r="C147" s="28" t="n"/>
      <c r="D147" s="28" t="n"/>
      <c r="E147" s="17">
        <f>IF(D147="","",D147*Parametres!$B$6)</f>
        <v/>
      </c>
      <c r="F147" s="28" t="n"/>
    </row>
    <row r="148">
      <c r="A148" s="27" t="n"/>
      <c r="B148" s="27" t="n"/>
      <c r="C148" s="28" t="n"/>
      <c r="D148" s="28" t="n"/>
      <c r="E148" s="17">
        <f>IF(D148="","",D148*Parametres!$B$6)</f>
        <v/>
      </c>
      <c r="F148" s="28" t="n"/>
    </row>
    <row r="149">
      <c r="A149" s="27" t="n"/>
      <c r="B149" s="27" t="n"/>
      <c r="C149" s="28" t="n"/>
      <c r="D149" s="28" t="n"/>
      <c r="E149" s="17">
        <f>IF(D149="","",D149*Parametres!$B$6)</f>
        <v/>
      </c>
      <c r="F149" s="28" t="n"/>
    </row>
    <row r="150">
      <c r="A150" s="27" t="n"/>
      <c r="B150" s="27" t="n"/>
      <c r="C150" s="28" t="n"/>
      <c r="D150" s="28" t="n"/>
      <c r="E150" s="17">
        <f>IF(D150="","",D150*Parametres!$B$6)</f>
        <v/>
      </c>
      <c r="F150" s="28" t="n"/>
    </row>
    <row r="151">
      <c r="A151" s="27" t="n"/>
      <c r="B151" s="27" t="n"/>
      <c r="C151" s="28" t="n"/>
      <c r="D151" s="28" t="n"/>
      <c r="E151" s="17">
        <f>IF(D151="","",D151*Parametres!$B$6)</f>
        <v/>
      </c>
      <c r="F151" s="28" t="n"/>
    </row>
    <row r="152">
      <c r="A152" s="27" t="n"/>
      <c r="B152" s="27" t="n"/>
      <c r="C152" s="28" t="n"/>
      <c r="D152" s="28" t="n"/>
      <c r="E152" s="17">
        <f>IF(D152="","",D152*Parametres!$B$6)</f>
        <v/>
      </c>
      <c r="F152" s="28" t="n"/>
    </row>
    <row r="153">
      <c r="A153" s="27" t="n"/>
      <c r="B153" s="27" t="n"/>
      <c r="C153" s="28" t="n"/>
      <c r="D153" s="28" t="n"/>
      <c r="E153" s="17">
        <f>IF(D153="","",D153*Parametres!$B$6)</f>
        <v/>
      </c>
      <c r="F153" s="28" t="n"/>
    </row>
    <row r="154">
      <c r="A154" s="27" t="n"/>
      <c r="B154" s="27" t="n"/>
      <c r="C154" s="28" t="n"/>
      <c r="D154" s="28" t="n"/>
      <c r="E154" s="17">
        <f>IF(D154="","",D154*Parametres!$B$6)</f>
        <v/>
      </c>
      <c r="F154" s="28" t="n"/>
    </row>
    <row r="155">
      <c r="A155" s="27" t="n"/>
      <c r="B155" s="27" t="n"/>
      <c r="C155" s="28" t="n"/>
      <c r="D155" s="28" t="n"/>
      <c r="E155" s="17">
        <f>IF(D155="","",D155*Parametres!$B$6)</f>
        <v/>
      </c>
      <c r="F155" s="28" t="n"/>
    </row>
    <row r="156">
      <c r="A156" s="27" t="n"/>
      <c r="B156" s="27" t="n"/>
      <c r="C156" s="28" t="n"/>
      <c r="D156" s="28" t="n"/>
      <c r="E156" s="17">
        <f>IF(D156="","",D156*Parametres!$B$6)</f>
        <v/>
      </c>
      <c r="F156" s="28" t="n"/>
    </row>
    <row r="157">
      <c r="A157" s="27" t="n"/>
      <c r="B157" s="27" t="n"/>
      <c r="C157" s="28" t="n"/>
      <c r="D157" s="28" t="n"/>
      <c r="E157" s="17">
        <f>IF(D157="","",D157*Parametres!$B$6)</f>
        <v/>
      </c>
      <c r="F157" s="28" t="n"/>
    </row>
    <row r="158">
      <c r="A158" s="27" t="n"/>
      <c r="B158" s="27" t="n"/>
      <c r="C158" s="28" t="n"/>
      <c r="D158" s="28" t="n"/>
      <c r="E158" s="17">
        <f>IF(D158="","",D158*Parametres!$B$6)</f>
        <v/>
      </c>
      <c r="F158" s="28" t="n"/>
    </row>
    <row r="159">
      <c r="A159" s="27" t="n"/>
      <c r="B159" s="27" t="n"/>
      <c r="C159" s="28" t="n"/>
      <c r="D159" s="28" t="n"/>
      <c r="E159" s="17">
        <f>IF(D159="","",D159*Parametres!$B$6)</f>
        <v/>
      </c>
      <c r="F159" s="28" t="n"/>
    </row>
    <row r="160">
      <c r="A160" s="27" t="n"/>
      <c r="B160" s="27" t="n"/>
      <c r="C160" s="28" t="n"/>
      <c r="D160" s="28" t="n"/>
      <c r="E160" s="17">
        <f>IF(D160="","",D160*Parametres!$B$6)</f>
        <v/>
      </c>
      <c r="F160" s="28" t="n"/>
    </row>
    <row r="161">
      <c r="A161" s="27" t="n"/>
      <c r="B161" s="27" t="n"/>
      <c r="C161" s="28" t="n"/>
      <c r="D161" s="28" t="n"/>
      <c r="E161" s="17">
        <f>IF(D161="","",D161*Parametres!$B$6)</f>
        <v/>
      </c>
      <c r="F161" s="28" t="n"/>
    </row>
    <row r="162">
      <c r="A162" s="27" t="n"/>
      <c r="B162" s="27" t="n"/>
      <c r="C162" s="28" t="n"/>
      <c r="D162" s="28" t="n"/>
      <c r="E162" s="17">
        <f>IF(D162="","",D162*Parametres!$B$6)</f>
        <v/>
      </c>
      <c r="F162" s="28" t="n"/>
    </row>
    <row r="163">
      <c r="A163" s="27" t="n"/>
      <c r="B163" s="27" t="n"/>
      <c r="C163" s="28" t="n"/>
      <c r="D163" s="28" t="n"/>
      <c r="E163" s="17">
        <f>IF(D163="","",D163*Parametres!$B$6)</f>
        <v/>
      </c>
      <c r="F163" s="28" t="n"/>
    </row>
    <row r="164">
      <c r="A164" s="27" t="n"/>
      <c r="B164" s="27" t="n"/>
      <c r="C164" s="28" t="n"/>
      <c r="D164" s="28" t="n"/>
      <c r="E164" s="17">
        <f>IF(D164="","",D164*Parametres!$B$6)</f>
        <v/>
      </c>
      <c r="F164" s="28" t="n"/>
    </row>
    <row r="165">
      <c r="A165" s="27" t="n"/>
      <c r="B165" s="27" t="n"/>
      <c r="C165" s="28" t="n"/>
      <c r="D165" s="28" t="n"/>
      <c r="E165" s="17">
        <f>IF(D165="","",D165*Parametres!$B$6)</f>
        <v/>
      </c>
      <c r="F165" s="28" t="n"/>
    </row>
    <row r="166">
      <c r="A166" s="27" t="n"/>
      <c r="B166" s="27" t="n"/>
      <c r="C166" s="28" t="n"/>
      <c r="D166" s="28" t="n"/>
      <c r="E166" s="17">
        <f>IF(D166="","",D166*Parametres!$B$6)</f>
        <v/>
      </c>
      <c r="F166" s="28" t="n"/>
    </row>
    <row r="167">
      <c r="A167" s="27" t="n"/>
      <c r="B167" s="27" t="n"/>
      <c r="C167" s="28" t="n"/>
      <c r="D167" s="28" t="n"/>
      <c r="E167" s="17">
        <f>IF(D167="","",D167*Parametres!$B$6)</f>
        <v/>
      </c>
      <c r="F167" s="28" t="n"/>
    </row>
    <row r="168">
      <c r="A168" s="27" t="n"/>
      <c r="B168" s="27" t="n"/>
      <c r="C168" s="28" t="n"/>
      <c r="D168" s="28" t="n"/>
      <c r="E168" s="17">
        <f>IF(D168="","",D168*Parametres!$B$6)</f>
        <v/>
      </c>
      <c r="F168" s="28" t="n"/>
    </row>
    <row r="169">
      <c r="A169" s="27" t="n"/>
      <c r="B169" s="27" t="n"/>
      <c r="C169" s="28" t="n"/>
      <c r="D169" s="28" t="n"/>
      <c r="E169" s="17">
        <f>IF(D169="","",D169*Parametres!$B$6)</f>
        <v/>
      </c>
      <c r="F169" s="28" t="n"/>
    </row>
    <row r="170">
      <c r="A170" s="27" t="n"/>
      <c r="B170" s="27" t="n"/>
      <c r="C170" s="28" t="n"/>
      <c r="D170" s="28" t="n"/>
      <c r="E170" s="17">
        <f>IF(D170="","",D170*Parametres!$B$6)</f>
        <v/>
      </c>
      <c r="F170" s="28" t="n"/>
    </row>
    <row r="171">
      <c r="A171" s="27" t="n"/>
      <c r="B171" s="27" t="n"/>
      <c r="C171" s="28" t="n"/>
      <c r="D171" s="28" t="n"/>
      <c r="E171" s="17">
        <f>IF(D171="","",D171*Parametres!$B$6)</f>
        <v/>
      </c>
      <c r="F171" s="28" t="n"/>
    </row>
    <row r="172">
      <c r="A172" s="27" t="n"/>
      <c r="B172" s="27" t="n"/>
      <c r="C172" s="28" t="n"/>
      <c r="D172" s="28" t="n"/>
      <c r="E172" s="17">
        <f>IF(D172="","",D172*Parametres!$B$6)</f>
        <v/>
      </c>
      <c r="F172" s="28" t="n"/>
    </row>
    <row r="173">
      <c r="A173" s="27" t="n"/>
      <c r="B173" s="27" t="n"/>
      <c r="C173" s="28" t="n"/>
      <c r="D173" s="28" t="n"/>
      <c r="E173" s="17">
        <f>IF(D173="","",D173*Parametres!$B$6)</f>
        <v/>
      </c>
      <c r="F173" s="28" t="n"/>
    </row>
    <row r="174">
      <c r="A174" s="27" t="n"/>
      <c r="B174" s="27" t="n"/>
      <c r="C174" s="28" t="n"/>
      <c r="D174" s="28" t="n"/>
      <c r="E174" s="17">
        <f>IF(D174="","",D174*Parametres!$B$6)</f>
        <v/>
      </c>
      <c r="F174" s="28" t="n"/>
    </row>
    <row r="175">
      <c r="A175" s="27" t="n"/>
      <c r="B175" s="27" t="n"/>
      <c r="C175" s="28" t="n"/>
      <c r="D175" s="28" t="n"/>
      <c r="E175" s="17">
        <f>IF(D175="","",D175*Parametres!$B$6)</f>
        <v/>
      </c>
      <c r="F175" s="28" t="n"/>
    </row>
    <row r="176">
      <c r="A176" s="27" t="n"/>
      <c r="B176" s="27" t="n"/>
      <c r="C176" s="28" t="n"/>
      <c r="D176" s="28" t="n"/>
      <c r="E176" s="17">
        <f>IF(D176="","",D176*Parametres!$B$6)</f>
        <v/>
      </c>
      <c r="F176" s="28" t="n"/>
    </row>
    <row r="177">
      <c r="A177" s="27" t="n"/>
      <c r="B177" s="27" t="n"/>
      <c r="C177" s="28" t="n"/>
      <c r="D177" s="28" t="n"/>
      <c r="E177" s="17">
        <f>IF(D177="","",D177*Parametres!$B$6)</f>
        <v/>
      </c>
      <c r="F177" s="28" t="n"/>
    </row>
    <row r="178">
      <c r="A178" s="27" t="n"/>
      <c r="B178" s="27" t="n"/>
      <c r="C178" s="28" t="n"/>
      <c r="D178" s="28" t="n"/>
      <c r="E178" s="17">
        <f>IF(D178="","",D178*Parametres!$B$6)</f>
        <v/>
      </c>
      <c r="F178" s="28" t="n"/>
    </row>
    <row r="179">
      <c r="A179" s="27" t="n"/>
      <c r="B179" s="27" t="n"/>
      <c r="C179" s="28" t="n"/>
      <c r="D179" s="28" t="n"/>
      <c r="E179" s="17">
        <f>IF(D179="","",D179*Parametres!$B$6)</f>
        <v/>
      </c>
      <c r="F179" s="28" t="n"/>
    </row>
    <row r="180">
      <c r="A180" s="27" t="n"/>
      <c r="B180" s="27" t="n"/>
      <c r="C180" s="28" t="n"/>
      <c r="D180" s="28" t="n"/>
      <c r="E180" s="17">
        <f>IF(D180="","",D180*Parametres!$B$6)</f>
        <v/>
      </c>
      <c r="F180" s="28" t="n"/>
    </row>
    <row r="181">
      <c r="A181" s="27" t="n"/>
      <c r="B181" s="27" t="n"/>
      <c r="C181" s="28" t="n"/>
      <c r="D181" s="28" t="n"/>
      <c r="E181" s="17">
        <f>IF(D181="","",D181*Parametres!$B$6)</f>
        <v/>
      </c>
      <c r="F181" s="28" t="n"/>
    </row>
    <row r="182">
      <c r="A182" s="27" t="n"/>
      <c r="B182" s="27" t="n"/>
      <c r="C182" s="28" t="n"/>
      <c r="D182" s="28" t="n"/>
      <c r="E182" s="17">
        <f>IF(D182="","",D182*Parametres!$B$6)</f>
        <v/>
      </c>
      <c r="F182" s="28" t="n"/>
    </row>
    <row r="183">
      <c r="A183" s="27" t="n"/>
      <c r="B183" s="27" t="n"/>
      <c r="C183" s="28" t="n"/>
      <c r="D183" s="28" t="n"/>
      <c r="E183" s="17">
        <f>IF(D183="","",D183*Parametres!$B$6)</f>
        <v/>
      </c>
      <c r="F183" s="28" t="n"/>
    </row>
    <row r="184">
      <c r="A184" s="27" t="n"/>
      <c r="B184" s="27" t="n"/>
      <c r="C184" s="28" t="n"/>
      <c r="D184" s="28" t="n"/>
      <c r="E184" s="17">
        <f>IF(D184="","",D184*Parametres!$B$6)</f>
        <v/>
      </c>
      <c r="F184" s="28" t="n"/>
    </row>
    <row r="185">
      <c r="A185" s="27" t="n"/>
      <c r="B185" s="27" t="n"/>
      <c r="C185" s="28" t="n"/>
      <c r="D185" s="28" t="n"/>
      <c r="E185" s="17">
        <f>IF(D185="","",D185*Parametres!$B$6)</f>
        <v/>
      </c>
      <c r="F185" s="28" t="n"/>
    </row>
    <row r="186">
      <c r="A186" s="27" t="n"/>
      <c r="B186" s="27" t="n"/>
      <c r="C186" s="28" t="n"/>
      <c r="D186" s="28" t="n"/>
      <c r="E186" s="17">
        <f>IF(D186="","",D186*Parametres!$B$6)</f>
        <v/>
      </c>
      <c r="F186" s="28" t="n"/>
    </row>
    <row r="187">
      <c r="A187" s="27" t="n"/>
      <c r="B187" s="27" t="n"/>
      <c r="C187" s="28" t="n"/>
      <c r="D187" s="28" t="n"/>
      <c r="E187" s="17">
        <f>IF(D187="","",D187*Parametres!$B$6)</f>
        <v/>
      </c>
      <c r="F187" s="28" t="n"/>
    </row>
    <row r="188">
      <c r="A188" s="27" t="n"/>
      <c r="B188" s="27" t="n"/>
      <c r="C188" s="28" t="n"/>
      <c r="D188" s="28" t="n"/>
      <c r="E188" s="17">
        <f>IF(D188="","",D188*Parametres!$B$6)</f>
        <v/>
      </c>
      <c r="F188" s="28" t="n"/>
    </row>
    <row r="189">
      <c r="A189" s="27" t="n"/>
      <c r="B189" s="27" t="n"/>
      <c r="C189" s="28" t="n"/>
      <c r="D189" s="28" t="n"/>
      <c r="E189" s="17">
        <f>IF(D189="","",D189*Parametres!$B$6)</f>
        <v/>
      </c>
      <c r="F189" s="28" t="n"/>
    </row>
    <row r="190">
      <c r="A190" s="27" t="n"/>
      <c r="B190" s="27" t="n"/>
      <c r="C190" s="28" t="n"/>
      <c r="D190" s="28" t="n"/>
      <c r="E190" s="17">
        <f>IF(D190="","",D190*Parametres!$B$6)</f>
        <v/>
      </c>
      <c r="F190" s="28" t="n"/>
    </row>
    <row r="191">
      <c r="A191" s="27" t="n"/>
      <c r="B191" s="27" t="n"/>
      <c r="C191" s="28" t="n"/>
      <c r="D191" s="28" t="n"/>
      <c r="E191" s="17">
        <f>IF(D191="","",D191*Parametres!$B$6)</f>
        <v/>
      </c>
      <c r="F191" s="28" t="n"/>
    </row>
    <row r="192">
      <c r="A192" s="27" t="n"/>
      <c r="B192" s="27" t="n"/>
      <c r="C192" s="28" t="n"/>
      <c r="D192" s="28" t="n"/>
      <c r="E192" s="17">
        <f>IF(D192="","",D192*Parametres!$B$6)</f>
        <v/>
      </c>
      <c r="F192" s="28" t="n"/>
    </row>
    <row r="193">
      <c r="A193" s="27" t="n"/>
      <c r="B193" s="27" t="n"/>
      <c r="C193" s="28" t="n"/>
      <c r="D193" s="28" t="n"/>
      <c r="E193" s="17">
        <f>IF(D193="","",D193*Parametres!$B$6)</f>
        <v/>
      </c>
      <c r="F193" s="28" t="n"/>
    </row>
    <row r="194">
      <c r="A194" s="27" t="n"/>
      <c r="B194" s="27" t="n"/>
      <c r="C194" s="28" t="n"/>
      <c r="D194" s="28" t="n"/>
      <c r="E194" s="17">
        <f>IF(D194="","",D194*Parametres!$B$6)</f>
        <v/>
      </c>
      <c r="F194" s="28" t="n"/>
    </row>
    <row r="195">
      <c r="A195" s="27" t="n"/>
      <c r="B195" s="27" t="n"/>
      <c r="C195" s="28" t="n"/>
      <c r="D195" s="28" t="n"/>
      <c r="E195" s="17">
        <f>IF(D195="","",D195*Parametres!$B$6)</f>
        <v/>
      </c>
      <c r="F195" s="28" t="n"/>
    </row>
    <row r="196">
      <c r="A196" s="27" t="n"/>
      <c r="B196" s="27" t="n"/>
      <c r="C196" s="28" t="n"/>
      <c r="D196" s="28" t="n"/>
      <c r="E196" s="17">
        <f>IF(D196="","",D196*Parametres!$B$6)</f>
        <v/>
      </c>
      <c r="F196" s="28" t="n"/>
    </row>
    <row r="197">
      <c r="A197" s="27" t="n"/>
      <c r="B197" s="27" t="n"/>
      <c r="C197" s="28" t="n"/>
      <c r="D197" s="28" t="n"/>
      <c r="E197" s="17">
        <f>IF(D197="","",D197*Parametres!$B$6)</f>
        <v/>
      </c>
      <c r="F197" s="28" t="n"/>
    </row>
    <row r="198">
      <c r="A198" s="27" t="n"/>
      <c r="B198" s="27" t="n"/>
      <c r="C198" s="28" t="n"/>
      <c r="D198" s="28" t="n"/>
      <c r="E198" s="17">
        <f>IF(D198="","",D198*Parametres!$B$6)</f>
        <v/>
      </c>
      <c r="F198" s="28" t="n"/>
    </row>
    <row r="199">
      <c r="A199" s="27" t="n"/>
      <c r="B199" s="27" t="n"/>
      <c r="C199" s="28" t="n"/>
      <c r="D199" s="28" t="n"/>
      <c r="E199" s="17">
        <f>IF(D199="","",D199*Parametres!$B$6)</f>
        <v/>
      </c>
      <c r="F199" s="28" t="n"/>
    </row>
    <row r="200">
      <c r="A200" s="27" t="n"/>
      <c r="B200" s="27" t="n"/>
      <c r="C200" s="28" t="n"/>
      <c r="D200" s="28" t="n"/>
      <c r="E200" s="17">
        <f>IF(D200="","",D200*Parametres!$B$6)</f>
        <v/>
      </c>
      <c r="F200" s="28" t="n"/>
    </row>
    <row r="201">
      <c r="A201" s="27" t="n"/>
      <c r="B201" s="27" t="n"/>
      <c r="C201" s="28" t="n"/>
      <c r="D201" s="28" t="n"/>
      <c r="E201" s="17">
        <f>IF(D201="","",D201*Parametres!$B$6)</f>
        <v/>
      </c>
      <c r="F201" s="28" t="n"/>
    </row>
    <row r="202">
      <c r="A202" s="27" t="n"/>
      <c r="B202" s="27" t="n"/>
      <c r="C202" s="28" t="n"/>
      <c r="D202" s="28" t="n"/>
      <c r="E202" s="17">
        <f>IF(D202="","",D202*Parametres!$B$6)</f>
        <v/>
      </c>
      <c r="F202" s="28" t="n"/>
    </row>
    <row r="203">
      <c r="A203" s="27" t="n"/>
      <c r="B203" s="27" t="n"/>
      <c r="C203" s="28" t="n"/>
      <c r="D203" s="28" t="n"/>
      <c r="E203" s="17">
        <f>IF(D203="","",D203*Parametres!$B$6)</f>
        <v/>
      </c>
      <c r="F203" s="28" t="n"/>
    </row>
    <row r="204">
      <c r="A204" s="27" t="n"/>
      <c r="B204" s="27" t="n"/>
      <c r="C204" s="28" t="n"/>
      <c r="D204" s="28" t="n"/>
      <c r="E204" s="17">
        <f>IF(D204="","",D204*Parametres!$B$6)</f>
        <v/>
      </c>
      <c r="F204" s="28" t="n"/>
    </row>
  </sheetData>
  <dataValidations count="1">
    <dataValidation sqref="C5:C204" showDropDown="0" showInputMessage="0" showErrorMessage="0" allowBlank="1" type="list">
      <formula1>"CA,CA HP,RTC,CET,CF,HS,RPS,ASA"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2026-10-02T17:54:59Z</dcterms:created>
  <dcterms:modified xsi:type="dcterms:W3CDTF">2026-10-02T17:54:59Z</dcterms:modified>
</cp:coreProperties>
</file>